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"/>
    </mc:Choice>
  </mc:AlternateContent>
  <xr:revisionPtr revIDLastSave="0" documentId="13_ncr:1_{A6C5B6A4-17B1-4BAA-860D-E9594910732F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10" i="2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B35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0" i="2" s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</calcChain>
</file>

<file path=xl/sharedStrings.xml><?xml version="1.0" encoding="utf-8"?>
<sst xmlns="http://schemas.openxmlformats.org/spreadsheetml/2006/main" count="104" uniqueCount="87">
  <si>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</si>
  <si>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</si>
  <si>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</si>
  <si>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</si>
  <si>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</si>
  <si>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</si>
  <si>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</si>
  <si>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</si>
  <si>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</si>
  <si>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</si>
  <si>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</si>
  <si>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</si>
  <si>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</si>
  <si>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</si>
  <si>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</si>
  <si>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</si>
  <si>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</si>
  <si>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</si>
  <si>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</si>
  <si>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</si>
  <si>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</si>
  <si>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</si>
  <si>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</si>
  <si>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</si>
  <si>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</si>
  <si>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</si>
  <si>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</si>
  <si>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</si>
  <si>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</si>
  <si>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</si>
  <si>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</si>
  <si>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</si>
  <si>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</si>
  <si>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</si>
  <si>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</si>
  <si>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</si>
  <si>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</si>
  <si>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</si>
  <si>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</si>
  <si>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</si>
  <si>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</si>
  <si>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</si>
  <si>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</si>
  <si>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</si>
  <si>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</si>
  <si>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</si>
  <si>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</si>
  <si>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</si>
  <si>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</si>
  <si>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</si>
  <si>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</si>
  <si>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</si>
  <si>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</si>
  <si>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</si>
  <si>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</si>
  <si>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</si>
  <si>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</si>
  <si>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</si>
  <si>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</si>
  <si>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</si>
  <si>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</si>
  <si>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</si>
  <si>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</si>
  <si>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</si>
  <si>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</si>
  <si>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</si>
  <si>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</si>
  <si>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</si>
  <si>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</si>
  <si>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</si>
  <si>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</si>
  <si>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</si>
  <si>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</si>
  <si>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</si>
  <si>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</si>
  <si>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</si>
  <si>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</si>
  <si>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</si>
  <si>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</si>
  <si>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</si>
  <si>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</si>
  <si>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</si>
  <si>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</si>
  <si>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</si>
  <si>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</si>
  <si>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</si>
  <si>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CONTRAPAGO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</si>
</sst>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G53" sqref="G53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61" t="s">
        <v>44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s="162" t="s">
        <v>43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s="164" t="s">
        <v>42</v>
      </c>
      <c r="L5" s="164"/>
      <c r="M5" s="164"/>
      <c r="N5" s="165"/>
      <c r="O5" s="29"/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s="25" t="s">
        <v>41</v>
      </c>
      <c r="C7" s="157"/>
      <c r="D7" s="158"/>
      <c r="E7" s="158"/>
      <c r="F7" s="158"/>
      <c r="H7" s="27" t="s">
        <v>40</v>
      </c>
      <c r="I7" s="26"/>
      <c r="J7" s="26"/>
      <c r="K7" s="26"/>
      <c r="L7" s="26"/>
      <c r="M7" s="159" t="s">
        <v>39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s="21" t="s">
        <v>38</v>
      </c>
    </row>
    <row r="9" spans="2:15">
      <c r="B9" s="25" t="s">
        <v>37</v>
      </c>
      <c r="C9" s="157"/>
      <c r="D9" s="157"/>
      <c r="E9" s="157"/>
      <c r="F9" s="157"/>
      <c r="H9" s="22"/>
      <c r="I9" s="21" t="s">
        <v>36</v>
      </c>
      <c r="M9" s="24" t="s">
        <v>35</v>
      </c>
      <c r="O9" s="22"/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60"/>
      <c r="D11" s="160"/>
      <c r="E11" s="160"/>
      <c r="F11" s="160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55" t="s">
        <v>25</v>
      </c>
      <c r="C17" s="20" t="s">
        <v>24</v>
      </c>
      <c r="D17" s="139" t="s">
        <v>23</v>
      </c>
      <c r="E17" s="140"/>
      <c r="F17" s="140"/>
      <c r="G17" s="140"/>
      <c r="H17" s="141"/>
      <c r="I17" s="139" t="s">
        <v>22</v>
      </c>
      <c r="J17" s="155" t="s">
        <v>21</v>
      </c>
      <c r="K17" s="155" t="s">
        <v>20</v>
      </c>
      <c r="L17" s="139" t="s">
        <v>19</v>
      </c>
      <c r="M17" s="140"/>
      <c r="N17" s="140"/>
      <c r="O17" s="141"/>
    </row>
    <row r="18" spans="2:21">
      <c r="B18" s="156"/>
      <c r="C18" s="19" t="s">
        <v>18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5"/>
      <c r="E20" s="146"/>
      <c r="F20" s="146"/>
      <c r="G20" s="146"/>
      <c r="H20" s="147"/>
      <c r="I20" s="17"/>
      <c r="J20" s="34"/>
      <c r="K20" s="16"/>
      <c r="L20" s="31" t="s">
        <v>17</v>
      </c>
      <c r="M20" s="149"/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  <v>2</v>
      </c>
      <c r="C21" s="12"/>
      <c r="D21" s="133"/>
      <c r="E21" s="134"/>
      <c r="F21" s="134"/>
      <c r="G21" s="134"/>
      <c r="H21" s="135"/>
      <c r="I21" s="12"/>
      <c r="J21" s="12"/>
      <c r="K21" s="12"/>
      <c r="L21" s="32" t="s">
        <v>16</v>
      </c>
      <c r="M21" s="151"/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  <v>3</v>
      </c>
      <c r="C22" s="12"/>
      <c r="D22" s="133"/>
      <c r="E22" s="134"/>
      <c r="F22" s="134"/>
      <c r="G22" s="134"/>
      <c r="H22" s="135"/>
      <c r="I22" s="12"/>
      <c r="J22" s="12"/>
      <c r="K22" s="12"/>
      <c r="L22" s="32" t="s">
        <v>15</v>
      </c>
      <c r="M22" s="151"/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14</v>
      </c>
      <c r="M23" s="151"/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13</v>
      </c>
      <c r="M24" s="151"/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12</v>
      </c>
      <c r="M25" s="153"/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11</v>
      </c>
      <c r="C33" s="131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2" t="s">
        <v>7</v>
      </c>
      <c r="C36" s="131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2" t="s">
        <v>3</v>
      </c>
      <c r="C37" s="132"/>
      <c r="F37" s="1" t="s">
        <v>2</v>
      </c>
      <c r="J37" s="1" t="s">
        <v>1</v>
      </c>
      <c r="M37" s="1" t="s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S13" sqref="S13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4" t="s">
        <v>45</v>
      </c>
      <c r="F3" s="224"/>
      <c r="G3" s="224"/>
      <c r="H3" s="224"/>
      <c r="I3" s="224"/>
      <c r="J3" s="224"/>
      <c r="K3" s="224"/>
      <c r="L3" s="225" t="s">
        <v>46</v>
      </c>
      <c r="M3" s="226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7" t="s">
        <v>48</v>
      </c>
      <c r="M5" s="228"/>
      <c r="N5" s="54"/>
    </row>
    <row r="6" spans="2:14" ht="14.45" customHeight="1">
      <c r="B6" s="229" t="s">
        <v>49</v>
      </c>
      <c r="C6" s="230" t="s">
        <v>44</v>
      </c>
      <c r="D6" s="230"/>
      <c r="E6" s="230"/>
      <c r="F6" s="231"/>
      <c r="G6" s="234" t="s">
        <v>50</v>
      </c>
      <c r="H6" s="235"/>
      <c r="I6" s="235"/>
      <c r="J6" s="235"/>
      <c r="K6" s="236"/>
      <c r="L6" s="237">
        <f>L10</f>
        <v>0</v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  <v>0</v>
      </c>
      <c r="H7" s="240"/>
      <c r="I7" s="240"/>
      <c r="J7" s="240"/>
      <c r="K7" s="241"/>
      <c r="L7" s="242" t="s">
        <v>51</v>
      </c>
      <c r="M7" s="243"/>
      <c r="N7" s="46"/>
    </row>
    <row r="8" spans="2:14" ht="12.95" customHeight="1">
      <c r="B8" s="214" t="s">
        <v>52</v>
      </c>
      <c r="C8" s="216" t="s">
        <v>53</v>
      </c>
      <c r="D8" s="216"/>
      <c r="E8" s="216"/>
      <c r="F8" s="217"/>
      <c r="G8" s="220" t="s">
        <v>54</v>
      </c>
      <c r="H8" s="216"/>
      <c r="I8" s="216"/>
      <c r="J8" s="216"/>
      <c r="K8" s="217"/>
      <c r="L8" s="222">
        <f>requi!C11</f>
        <v>0</v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s="208" t="s">
        <v>55</v>
      </c>
      <c r="M9" s="209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202">
        <f>requi!M20</f>
        <v>0</v>
      </c>
      <c r="I10" s="202"/>
      <c r="J10" s="202"/>
      <c r="K10" s="203"/>
      <c r="L10" s="204">
        <f>requi!O5</f>
        <v>0</v>
      </c>
      <c r="M10" s="205"/>
      <c r="N10" s="61"/>
    </row>
    <row r="11" spans="2:14">
      <c r="B11" s="56" t="s">
        <v>59</v>
      </c>
      <c r="C11" s="206">
        <f>requi!C9</f>
        <v>0</v>
      </c>
      <c r="D11" s="206"/>
      <c r="E11" s="206"/>
      <c r="F11" s="207"/>
      <c r="G11" s="60" t="s">
        <v>60</v>
      </c>
      <c r="H11" s="212"/>
      <c r="I11" s="212"/>
      <c r="J11" s="212"/>
      <c r="K11" s="213"/>
      <c r="L11" s="208" t="s">
        <v>61</v>
      </c>
      <c r="M11" s="209"/>
    </row>
    <row r="12" spans="2:14">
      <c r="B12" s="56" t="s">
        <v>62</v>
      </c>
      <c r="C12" s="206"/>
      <c r="D12" s="206"/>
      <c r="E12" s="206"/>
      <c r="F12" s="207"/>
      <c r="G12" s="60" t="s">
        <v>63</v>
      </c>
      <c r="H12" s="202" t="s">
        <v>86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s="66" t="s">
        <v>64</v>
      </c>
      <c r="H13" s="197">
        <f>H29</f>
        <v>0</v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25</v>
      </c>
      <c r="C15" s="70" t="s">
        <v>21</v>
      </c>
      <c r="D15" s="70" t="s">
        <v>22</v>
      </c>
      <c r="E15" s="70" t="s">
        <v>85</v>
      </c>
      <c r="F15" s="199" t="s">
        <v>23</v>
      </c>
      <c r="G15" s="200"/>
      <c r="H15" s="200"/>
      <c r="I15" s="200"/>
      <c r="J15" s="200"/>
      <c r="K15" s="201"/>
      <c r="L15" s="70" t="s">
        <v>65</v>
      </c>
      <c r="M15" s="71" t="s">
        <v>66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196">
        <f>requi!D20</f>
        <v>0</v>
      </c>
      <c r="G16" s="196"/>
      <c r="H16" s="196"/>
      <c r="I16" s="196"/>
      <c r="J16" s="196"/>
      <c r="K16" s="196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196">
        <f>requi!D21</f>
        <v>0</v>
      </c>
      <c r="G17" s="196"/>
      <c r="H17" s="196"/>
      <c r="I17" s="196"/>
      <c r="J17" s="196"/>
      <c r="K17" s="196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196">
        <f>requi!D22</f>
        <v>0</v>
      </c>
      <c r="G18" s="196"/>
      <c r="H18" s="196"/>
      <c r="I18" s="196"/>
      <c r="J18" s="196"/>
      <c r="K18" s="196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6">
        <f>requi!D23</f>
        <v>0</v>
      </c>
      <c r="G19" s="196"/>
      <c r="H19" s="196"/>
      <c r="I19" s="196"/>
      <c r="J19" s="196"/>
      <c r="K19" s="196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6">
        <f>requi!D24</f>
        <v>0</v>
      </c>
      <c r="G20" s="196"/>
      <c r="H20" s="196"/>
      <c r="I20" s="196"/>
      <c r="J20" s="196"/>
      <c r="K20" s="196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6">
        <f>requi!D25</f>
        <v>0</v>
      </c>
      <c r="G21" s="196"/>
      <c r="H21" s="196"/>
      <c r="I21" s="196"/>
      <c r="J21" s="196"/>
      <c r="K21" s="196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6">
        <f>requi!D26</f>
        <v>0</v>
      </c>
      <c r="G22" s="196"/>
      <c r="H22" s="196"/>
      <c r="I22" s="196"/>
      <c r="J22" s="196"/>
      <c r="K22" s="196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6">
        <f>requi!D27</f>
        <v>0</v>
      </c>
      <c r="G23" s="196"/>
      <c r="H23" s="196"/>
      <c r="I23" s="196"/>
      <c r="J23" s="196"/>
      <c r="K23" s="196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6">
        <f>requi!D28</f>
        <v>0</v>
      </c>
      <c r="G24" s="196"/>
      <c r="H24" s="196"/>
      <c r="I24" s="196"/>
      <c r="J24" s="196"/>
      <c r="K24" s="196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6">
        <f>requi!D29</f>
        <v>0</v>
      </c>
      <c r="G25" s="196"/>
      <c r="H25" s="196"/>
      <c r="I25" s="196"/>
      <c r="J25" s="196"/>
      <c r="K25" s="196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193"/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193">
        <f>requi!M23</f>
        <v>0</v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193">
        <f>requi!M24</f>
        <v>0</v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193">
        <f>requi!M25</f>
        <v>0</v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193">
        <f>requi!M22</f>
        <v>0</v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193">
        <f>requi!M21</f>
        <v>0</v>
      </c>
      <c r="I34" s="193"/>
      <c r="J34" s="193"/>
      <c r="K34" s="194"/>
      <c r="L34" s="80"/>
      <c r="M34" s="76"/>
      <c r="N34" s="81"/>
    </row>
    <row r="35" spans="2:14" ht="10.9" customHeight="1">
      <c r="B35" s="181" t="str">
        <f>PesosMN(M43)</f>
        <v>SON: ( PESO 00/100 M.N.)</v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s="99" t="s">
        <v>31</v>
      </c>
      <c r="N35" s="100"/>
    </row>
    <row r="36" spans="2:14">
      <c r="B36" s="184" t="str">
        <f>C6</f>
        <v>TRITURADOS BASÁLTICOS TEPETLAOXTOC</v>
      </c>
      <c r="C36" s="185"/>
      <c r="D36" s="185"/>
      <c r="E36" s="185"/>
      <c r="F36" s="185"/>
      <c r="G36" s="185"/>
      <c r="H36" s="185"/>
      <c r="I36" s="185"/>
      <c r="J36" s="186"/>
      <c r="K36" s="86"/>
      <c r="L36" s="80" t="s">
        <v>31</v>
      </c>
      <c r="M36" s="101" t="s">
        <v>31</v>
      </c>
      <c r="N36" s="100"/>
    </row>
    <row r="37" spans="2:14">
      <c r="B37" s="187" t="s">
        <v>69</v>
      </c>
      <c r="C37" s="188"/>
      <c r="D37" s="188"/>
      <c r="E37" s="189" t="s">
        <v>70</v>
      </c>
      <c r="F37" s="190"/>
      <c r="G37" s="191"/>
      <c r="H37" s="188" t="s">
        <v>71</v>
      </c>
      <c r="I37" s="188"/>
      <c r="J37" s="192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95" t="s">
        <v>72</v>
      </c>
      <c r="C39" s="167"/>
      <c r="D39" s="167"/>
      <c r="E39" s="166" t="s">
        <v>73</v>
      </c>
      <c r="F39" s="167"/>
      <c r="G39" s="168"/>
      <c r="H39" s="167" t="s">
        <v>74</v>
      </c>
      <c r="I39" s="167"/>
      <c r="J39" s="168"/>
      <c r="K39" s="110"/>
      <c r="L39" s="111" t="s">
        <v>75</v>
      </c>
      <c r="M39" s="112">
        <f>SUM(M16:M35)</f>
        <v>0</v>
      </c>
      <c r="N39" s="113"/>
    </row>
    <row r="40" spans="2:14" ht="14.45" customHeight="1">
      <c r="B40" s="169" t="s">
        <v>76</v>
      </c>
      <c r="C40" s="170"/>
      <c r="D40" s="170"/>
      <c r="E40" s="170"/>
      <c r="F40" s="170"/>
      <c r="G40" s="170"/>
      <c r="H40" s="170"/>
      <c r="I40" s="170"/>
      <c r="J40" s="171"/>
      <c r="K40" s="114"/>
      <c r="L40" s="115" t="s">
        <v>77</v>
      </c>
      <c r="M40" s="112">
        <f>+M39*0.16</f>
        <v>0</v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5" customHeight="1">
      <c r="B42" s="121"/>
      <c r="E42" s="122"/>
      <c r="F42" s="123" t="s">
        <v>79</v>
      </c>
      <c r="G42" s="124"/>
      <c r="H42" s="172">
        <f>+G7</f>
        <v>0</v>
      </c>
      <c r="I42" s="172"/>
      <c r="J42" s="173"/>
      <c r="K42" s="114"/>
      <c r="L42" s="115" t="s">
        <v>80</v>
      </c>
      <c r="M42" s="112"/>
      <c r="N42" s="113"/>
    </row>
    <row r="43" spans="2:14" ht="15" customHeight="1" thickBot="1">
      <c r="B43" s="174" t="s">
        <v>81</v>
      </c>
      <c r="C43" s="175"/>
      <c r="D43" s="175"/>
      <c r="E43" s="176" t="s">
        <v>82</v>
      </c>
      <c r="F43" s="177"/>
      <c r="G43" s="178"/>
      <c r="H43" s="175" t="s">
        <v>83</v>
      </c>
      <c r="I43" s="175"/>
      <c r="J43" s="179"/>
      <c r="K43" s="125" t="s">
        <v>31</v>
      </c>
      <c r="L43" s="126" t="s">
        <v>84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2023-08-14T17:34:07Z</dcterms:modified>
</cp:coreProperties>
</file>