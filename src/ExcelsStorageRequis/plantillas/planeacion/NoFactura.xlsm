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planeacion\"/>
    </mc:Choice>
  </mc:AlternateContent>
  <xr:revisionPtr revIDLastSave="0" documentId="13_ncr:1_{BFD1D7F1-D198-4419-A715-392F1115AFF9}" xr6:coauthVersionLast="47" xr6:coauthVersionMax="47" xr10:uidLastSave="{00000000-0000-0000-0000-000000000000}"/>
  <bookViews>
    <workbookView xWindow="5025" yWindow="5025" windowWidth="28800" windowHeight="15345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2" l="1"/>
  <c r="L6" i="2" s="1"/>
  <c r="F17" i="2"/>
  <c r="F18" i="2"/>
  <c r="F19" i="2"/>
  <c r="F20" i="2"/>
  <c r="F21" i="2"/>
  <c r="F22" i="2"/>
  <c r="F23" i="2"/>
  <c r="F24" i="2"/>
  <c r="F25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C16" i="2"/>
  <c r="G7" i="2"/>
  <c r="H34" i="2"/>
  <c r="H33" i="2"/>
  <c r="H32" i="2"/>
  <c r="H31" i="2"/>
  <c r="H30" i="2"/>
  <c r="C11" i="2"/>
  <c r="H13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</calcChain>
</file>

<file path=xl/sharedStrings.xml><?xml version="1.0" encoding="utf-8"?>
<sst xmlns="http://schemas.openxmlformats.org/spreadsheetml/2006/main" count="106" uniqueCount="89">
  <si>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</si>
  <si>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</si>
  <si>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</si>
  <si>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</si>
  <si>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</si>
  <si>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</si>
  <si>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</si>
  <si>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</si>
  <si>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</si>
  <si>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</si>
  <si>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</si>
  <si>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</si>
  <si>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</si>
  <si>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</si>
  <si>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</si>
  <si>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</si>
  <si>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</si>
  <si>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</si>
  <si>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</si>
  <si>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</si>
  <si>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</si>
  <si>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</si>
  <si>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</si>
  <si>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</si>
  <si>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</si>
  <si>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</si>
  <si>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</si>
  <si>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</si>
  <si>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</si>
  <si>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</si>
  <si>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</si>
  <si>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</si>
  <si>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</si>
  <si>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</si>
  <si>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</si>
  <si>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</si>
  <si>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</si>
  <si>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</si>
  <si>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</si>
  <si>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</si>
  <si>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</si>
  <si>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</si>
  <si>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</si>
  <si>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</si>
  <si>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</si>
  <si>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</si>
  <si>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</si>
  <si>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</si>
  <si>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</si>
  <si>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</si>
  <si>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</si>
  <si>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</si>
  <si>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</si>
  <si>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</si>
  <si>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</si>
  <si>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</si>
  <si>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</si>
  <si>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</si>
  <si>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</si>
  <si>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</si>
  <si>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</si>
  <si>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</si>
  <si>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</si>
  <si>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</si>
  <si>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</si>
  <si>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</si>
  <si>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</si>
  <si>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</si>
  <si>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</si>
  <si>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</si>
  <si>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</si>
  <si>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</si>
  <si>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</si>
  <si>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</si>
  <si>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</si>
  <si>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</si>
  <si>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</si>
  <si>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</si>
  <si>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</si>
  <si>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</si>
  <si>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</si>
  <si>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</si>
  <si>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</si>
  <si>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</si>
  <si>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</si>
  <si>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</si>
  <si>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CONTRAPAGO</t>
  </si>
  <si>
    <t>NOTA: NO FACTURA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</si>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</sst>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1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tabSelected="1" zoomScale="80" zoomScaleNormal="80" zoomScaleSheetLayoutView="100" workbookViewId="0">
      <selection activeCell="P28" sqref="P28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58" t="s">
        <v>44</v>
      </c>
      <c r="G2" s="158"/>
      <c r="H2" s="158"/>
      <c r="I2" s="158"/>
      <c r="J2" s="158"/>
      <c r="K2" s="158"/>
      <c r="L2" s="158"/>
      <c r="M2" s="158"/>
      <c r="N2" s="158"/>
      <c r="O2" s="30"/>
    </row>
    <row r="3" spans="2:15" ht="35.25" customHeight="1">
      <c r="F3" s="159" t="s">
        <v>43</v>
      </c>
      <c r="G3" s="159"/>
      <c r="H3" s="159"/>
      <c r="I3" s="159"/>
      <c r="J3" s="159"/>
      <c r="K3" s="159"/>
      <c r="L3" s="159"/>
      <c r="M3" s="159"/>
      <c r="N3" s="159"/>
      <c r="O3" s="30"/>
    </row>
    <row r="4" spans="2:15" ht="7.5" customHeight="1"/>
    <row r="5" spans="2:15" ht="15.75">
      <c r="B5" s="24"/>
      <c r="C5" s="24"/>
      <c r="D5" s="160"/>
      <c r="E5" s="160"/>
      <c r="F5" s="160"/>
      <c r="G5" s="160"/>
      <c r="H5" s="160"/>
      <c r="I5" s="160"/>
      <c r="J5" s="160"/>
      <c r="K5" s="161" t="s">
        <v>42</v>
      </c>
      <c r="L5" s="161"/>
      <c r="M5" s="161"/>
      <c r="N5" s="162"/>
      <c r="O5" s="29"/>
    </row>
    <row r="6" spans="2:15" ht="15.75">
      <c r="D6" s="160"/>
      <c r="E6" s="160"/>
      <c r="F6" s="160"/>
      <c r="G6" s="160"/>
      <c r="H6" s="160"/>
      <c r="I6" s="160"/>
      <c r="J6" s="160"/>
      <c r="K6" s="28"/>
    </row>
    <row r="7" spans="2:15">
      <c r="B7" s="25" t="s">
        <v>41</v>
      </c>
      <c r="C7" s="154"/>
      <c r="D7" s="155"/>
      <c r="E7" s="155"/>
      <c r="F7" s="155"/>
      <c r="H7" s="27" t="s">
        <v>40</v>
      </c>
      <c r="I7" s="26"/>
      <c r="J7" s="26"/>
      <c r="K7" s="26"/>
      <c r="L7" s="26"/>
      <c r="M7" s="156" t="s">
        <v>39</v>
      </c>
      <c r="N7" s="156"/>
      <c r="O7" s="156"/>
    </row>
    <row r="8" spans="2:15" ht="12.75" customHeight="1">
      <c r="B8" s="25"/>
      <c r="D8" s="132"/>
      <c r="E8" s="132"/>
      <c r="F8" s="132"/>
      <c r="H8" s="22"/>
      <c r="I8" s="21" t="s">
        <v>38</v>
      </c>
    </row>
    <row r="9" spans="2:15">
      <c r="B9" s="25" t="s">
        <v>37</v>
      </c>
      <c r="C9" s="154"/>
      <c r="D9" s="154"/>
      <c r="E9" s="154"/>
      <c r="F9" s="154"/>
      <c r="H9" s="22"/>
      <c r="I9" s="21" t="s">
        <v>36</v>
      </c>
      <c r="M9" s="24" t="s">
        <v>35</v>
      </c>
      <c r="O9" s="22"/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57"/>
      <c r="D11" s="157"/>
      <c r="E11" s="157"/>
      <c r="F11" s="157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52" t="s">
        <v>25</v>
      </c>
      <c r="C17" s="20" t="s">
        <v>24</v>
      </c>
      <c r="D17" s="136" t="s">
        <v>23</v>
      </c>
      <c r="E17" s="137"/>
      <c r="F17" s="137"/>
      <c r="G17" s="137"/>
      <c r="H17" s="138"/>
      <c r="I17" s="136" t="s">
        <v>22</v>
      </c>
      <c r="J17" s="152" t="s">
        <v>21</v>
      </c>
      <c r="K17" s="152" t="s">
        <v>20</v>
      </c>
      <c r="L17" s="136" t="s">
        <v>19</v>
      </c>
      <c r="M17" s="137"/>
      <c r="N17" s="137"/>
      <c r="O17" s="138"/>
    </row>
    <row r="18" spans="2:21">
      <c r="B18" s="153"/>
      <c r="C18" s="19" t="s">
        <v>18</v>
      </c>
      <c r="D18" s="139"/>
      <c r="E18" s="140"/>
      <c r="F18" s="140"/>
      <c r="G18" s="140"/>
      <c r="H18" s="141"/>
      <c r="I18" s="139"/>
      <c r="J18" s="153"/>
      <c r="K18" s="153"/>
      <c r="L18" s="139"/>
      <c r="M18" s="140"/>
      <c r="N18" s="140"/>
      <c r="O18" s="141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2"/>
      <c r="E20" s="143"/>
      <c r="F20" s="143"/>
      <c r="G20" s="143"/>
      <c r="H20" s="144"/>
      <c r="I20" s="17"/>
      <c r="J20" s="34"/>
      <c r="K20" s="16"/>
      <c r="L20" s="31" t="s">
        <v>17</v>
      </c>
      <c r="M20" s="146"/>
      <c r="N20" s="146"/>
      <c r="O20" s="147"/>
      <c r="R20" s="1"/>
      <c r="T20" s="145"/>
      <c r="U20" s="145"/>
    </row>
    <row r="21" spans="2:21" ht="20.100000000000001" customHeight="1">
      <c r="B21" s="12">
        <f t="shared" ref="B21:B31" si="0">+B20+1</f>
        <v>2</v>
      </c>
      <c r="C21" s="12"/>
      <c r="D21" s="133"/>
      <c r="E21" s="134"/>
      <c r="F21" s="134"/>
      <c r="G21" s="134"/>
      <c r="H21" s="135"/>
      <c r="I21" s="12"/>
      <c r="J21" s="12"/>
      <c r="K21" s="12"/>
      <c r="L21" s="32" t="s">
        <v>16</v>
      </c>
      <c r="M21" s="148"/>
      <c r="N21" s="148"/>
      <c r="O21" s="149"/>
      <c r="Q21" s="15"/>
      <c r="R21" s="1"/>
      <c r="T21" s="145"/>
      <c r="U21" s="145"/>
    </row>
    <row r="22" spans="2:21" ht="20.100000000000001" customHeight="1">
      <c r="B22" s="12">
        <f t="shared" si="0"/>
        <v>3</v>
      </c>
      <c r="C22" s="12"/>
      <c r="D22" s="133"/>
      <c r="E22" s="134"/>
      <c r="F22" s="134"/>
      <c r="G22" s="134"/>
      <c r="H22" s="135"/>
      <c r="I22" s="12"/>
      <c r="J22" s="12"/>
      <c r="K22" s="12"/>
      <c r="L22" s="32" t="s">
        <v>15</v>
      </c>
      <c r="M22" s="148"/>
      <c r="N22" s="148"/>
      <c r="O22" s="148"/>
      <c r="P22" s="33"/>
      <c r="Q22" s="14"/>
      <c r="R22" s="1"/>
      <c r="T22" s="145"/>
      <c r="U22" s="145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14</v>
      </c>
      <c r="M23" s="148"/>
      <c r="N23" s="148"/>
      <c r="O23" s="149"/>
      <c r="Q23" s="14"/>
      <c r="R23" s="1"/>
      <c r="T23" s="145"/>
      <c r="U23" s="145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13</v>
      </c>
      <c r="M24" s="148"/>
      <c r="N24" s="148"/>
      <c r="O24" s="149"/>
      <c r="Q24" s="14"/>
      <c r="R24" s="1"/>
      <c r="T24" s="145"/>
      <c r="U24" s="145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12</v>
      </c>
      <c r="M25" s="150"/>
      <c r="N25" s="150"/>
      <c r="O25" s="151"/>
      <c r="Q25" s="13"/>
      <c r="R25" s="1"/>
      <c r="T25" s="145"/>
      <c r="U25" s="145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3" t="s">
        <v>88</v>
      </c>
      <c r="E31" s="134"/>
      <c r="F31" s="134"/>
      <c r="G31" s="134"/>
      <c r="H31" s="13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11</v>
      </c>
      <c r="C33" s="131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2" t="s">
        <v>7</v>
      </c>
      <c r="C36" s="131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2" t="s">
        <v>3</v>
      </c>
      <c r="C37" s="132"/>
      <c r="F37" s="1" t="s">
        <v>2</v>
      </c>
      <c r="J37" s="1" t="s">
        <v>1</v>
      </c>
      <c r="M37" s="1" t="s">
        <v>0</v>
      </c>
    </row>
  </sheetData>
  <mergeCells count="36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view="pageBreakPreview" zoomScaleNormal="100" zoomScaleSheetLayoutView="100" workbookViewId="0">
      <selection activeCell="S15" sqref="S15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1" t="s">
        <v>45</v>
      </c>
      <c r="F3" s="221"/>
      <c r="G3" s="221"/>
      <c r="H3" s="221"/>
      <c r="I3" s="221"/>
      <c r="J3" s="221"/>
      <c r="K3" s="221"/>
      <c r="L3" s="222" t="s">
        <v>46</v>
      </c>
      <c r="M3" s="223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4" t="s">
        <v>48</v>
      </c>
      <c r="M5" s="225"/>
      <c r="N5" s="54"/>
    </row>
    <row r="6" spans="2:14" ht="14.45" customHeight="1">
      <c r="B6" s="226" t="s">
        <v>49</v>
      </c>
      <c r="C6" s="227" t="s">
        <v>44</v>
      </c>
      <c r="D6" s="227"/>
      <c r="E6" s="227"/>
      <c r="F6" s="228"/>
      <c r="G6" s="231" t="s">
        <v>50</v>
      </c>
      <c r="H6" s="232"/>
      <c r="I6" s="232"/>
      <c r="J6" s="232"/>
      <c r="K6" s="233"/>
      <c r="L6" s="234">
        <f>L10</f>
        <v>0</v>
      </c>
      <c r="M6" s="235"/>
      <c r="N6" s="46"/>
    </row>
    <row r="7" spans="2:14">
      <c r="B7" s="212"/>
      <c r="C7" s="229"/>
      <c r="D7" s="229"/>
      <c r="E7" s="229"/>
      <c r="F7" s="230"/>
      <c r="G7" s="236">
        <f>requi!K20</f>
        <v>0</v>
      </c>
      <c r="H7" s="237"/>
      <c r="I7" s="237"/>
      <c r="J7" s="237"/>
      <c r="K7" s="238"/>
      <c r="L7" s="239" t="s">
        <v>51</v>
      </c>
      <c r="M7" s="240"/>
      <c r="N7" s="46"/>
    </row>
    <row r="8" spans="2:14" ht="12.95" customHeight="1">
      <c r="B8" s="211" t="s">
        <v>52</v>
      </c>
      <c r="C8" s="213" t="s">
        <v>53</v>
      </c>
      <c r="D8" s="213"/>
      <c r="E8" s="213"/>
      <c r="F8" s="214"/>
      <c r="G8" s="217" t="s">
        <v>54</v>
      </c>
      <c r="H8" s="213"/>
      <c r="I8" s="213"/>
      <c r="J8" s="213"/>
      <c r="K8" s="214"/>
      <c r="L8" s="219">
        <f>requi!C11</f>
        <v>0</v>
      </c>
      <c r="M8" s="220"/>
      <c r="N8" s="55"/>
    </row>
    <row r="9" spans="2:14">
      <c r="B9" s="212"/>
      <c r="C9" s="215"/>
      <c r="D9" s="215"/>
      <c r="E9" s="215"/>
      <c r="F9" s="216"/>
      <c r="G9" s="218"/>
      <c r="H9" s="215"/>
      <c r="I9" s="215"/>
      <c r="J9" s="215"/>
      <c r="K9" s="216"/>
      <c r="L9" s="205" t="s">
        <v>55</v>
      </c>
      <c r="M9" s="206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199">
        <f>requi!M20</f>
        <v>0</v>
      </c>
      <c r="I10" s="199"/>
      <c r="J10" s="199"/>
      <c r="K10" s="200"/>
      <c r="L10" s="201">
        <f>requi!O5</f>
        <v>0</v>
      </c>
      <c r="M10" s="202"/>
      <c r="N10" s="61"/>
    </row>
    <row r="11" spans="2:14">
      <c r="B11" s="56" t="s">
        <v>59</v>
      </c>
      <c r="C11" s="203">
        <f>requi!C9</f>
        <v>0</v>
      </c>
      <c r="D11" s="203"/>
      <c r="E11" s="203"/>
      <c r="F11" s="204"/>
      <c r="G11" s="60" t="s">
        <v>60</v>
      </c>
      <c r="H11" s="209"/>
      <c r="I11" s="209"/>
      <c r="J11" s="209"/>
      <c r="K11" s="210"/>
      <c r="L11" s="205" t="s">
        <v>61</v>
      </c>
      <c r="M11" s="206"/>
    </row>
    <row r="12" spans="2:14">
      <c r="B12" s="56" t="s">
        <v>62</v>
      </c>
      <c r="C12" s="203"/>
      <c r="D12" s="203"/>
      <c r="E12" s="203"/>
      <c r="F12" s="204"/>
      <c r="G12" s="60" t="s">
        <v>63</v>
      </c>
      <c r="H12" s="199" t="s">
        <v>86</v>
      </c>
      <c r="I12" s="199"/>
      <c r="J12" s="199"/>
      <c r="K12" s="200"/>
      <c r="L12" s="207"/>
      <c r="M12" s="208"/>
    </row>
    <row r="13" spans="2:14" ht="16.899999999999999" customHeight="1" thickBot="1">
      <c r="B13" s="62"/>
      <c r="C13" s="63"/>
      <c r="D13" s="63"/>
      <c r="E13" s="64"/>
      <c r="F13" s="65"/>
      <c r="G13" s="66" t="s">
        <v>64</v>
      </c>
      <c r="H13" s="194">
        <f>H29</f>
        <v>0</v>
      </c>
      <c r="I13" s="194"/>
      <c r="J13" s="194"/>
      <c r="K13" s="195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25</v>
      </c>
      <c r="C15" s="70" t="s">
        <v>21</v>
      </c>
      <c r="D15" s="70" t="s">
        <v>22</v>
      </c>
      <c r="E15" s="70" t="s">
        <v>85</v>
      </c>
      <c r="F15" s="196" t="s">
        <v>23</v>
      </c>
      <c r="G15" s="197"/>
      <c r="H15" s="197"/>
      <c r="I15" s="197"/>
      <c r="J15" s="197"/>
      <c r="K15" s="198"/>
      <c r="L15" s="70" t="s">
        <v>65</v>
      </c>
      <c r="M15" s="71" t="s">
        <v>66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193">
        <f>requi!D20</f>
        <v>0</v>
      </c>
      <c r="G16" s="193"/>
      <c r="H16" s="193"/>
      <c r="I16" s="193"/>
      <c r="J16" s="193"/>
      <c r="K16" s="193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193">
        <f>requi!D21</f>
        <v>0</v>
      </c>
      <c r="G17" s="193"/>
      <c r="H17" s="193"/>
      <c r="I17" s="193"/>
      <c r="J17" s="193"/>
      <c r="K17" s="193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193">
        <f>requi!D22</f>
        <v>0</v>
      </c>
      <c r="G18" s="193"/>
      <c r="H18" s="193"/>
      <c r="I18" s="193"/>
      <c r="J18" s="193"/>
      <c r="K18" s="193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3">
        <f>requi!D23</f>
        <v>0</v>
      </c>
      <c r="G19" s="193"/>
      <c r="H19" s="193"/>
      <c r="I19" s="193"/>
      <c r="J19" s="193"/>
      <c r="K19" s="193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3">
        <f>requi!D24</f>
        <v>0</v>
      </c>
      <c r="G20" s="193"/>
      <c r="H20" s="193"/>
      <c r="I20" s="193"/>
      <c r="J20" s="193"/>
      <c r="K20" s="193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3">
        <f>requi!D25</f>
        <v>0</v>
      </c>
      <c r="G21" s="193"/>
      <c r="H21" s="193"/>
      <c r="I21" s="193"/>
      <c r="J21" s="193"/>
      <c r="K21" s="193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3">
        <f>requi!D26</f>
        <v>0</v>
      </c>
      <c r="G22" s="193"/>
      <c r="H22" s="193"/>
      <c r="I22" s="193"/>
      <c r="J22" s="193"/>
      <c r="K22" s="193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3">
        <f>requi!D27</f>
        <v>0</v>
      </c>
      <c r="G23" s="193"/>
      <c r="H23" s="193"/>
      <c r="I23" s="193"/>
      <c r="J23" s="193"/>
      <c r="K23" s="193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3">
        <f>requi!D28</f>
        <v>0</v>
      </c>
      <c r="G24" s="193"/>
      <c r="H24" s="193"/>
      <c r="I24" s="193"/>
      <c r="J24" s="193"/>
      <c r="K24" s="193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3">
        <f>requi!D29</f>
        <v>0</v>
      </c>
      <c r="G25" s="193"/>
      <c r="H25" s="193"/>
      <c r="I25" s="193"/>
      <c r="J25" s="193"/>
      <c r="K25" s="193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78"/>
      <c r="G26" s="167"/>
      <c r="H26" s="167"/>
      <c r="I26" s="167"/>
      <c r="J26" s="167"/>
      <c r="K26" s="168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 t="s">
        <v>87</v>
      </c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191"/>
      <c r="I29" s="191"/>
      <c r="J29" s="191"/>
      <c r="K29" s="192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191">
        <f>requi!M23</f>
        <v>0</v>
      </c>
      <c r="I30" s="191"/>
      <c r="J30" s="191"/>
      <c r="K30" s="192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191">
        <f>requi!M24</f>
        <v>0</v>
      </c>
      <c r="I31" s="191"/>
      <c r="J31" s="191"/>
      <c r="K31" s="192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191">
        <f>requi!M25</f>
        <v>0</v>
      </c>
      <c r="I32" s="191"/>
      <c r="J32" s="191"/>
      <c r="K32" s="192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191">
        <f>requi!M22</f>
        <v>0</v>
      </c>
      <c r="I33" s="191"/>
      <c r="J33" s="191"/>
      <c r="K33" s="192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191">
        <f>requi!M21</f>
        <v>0</v>
      </c>
      <c r="I34" s="191"/>
      <c r="J34" s="191"/>
      <c r="K34" s="192"/>
      <c r="L34" s="80"/>
      <c r="M34" s="76"/>
      <c r="N34" s="81"/>
    </row>
    <row r="35" spans="2:14" ht="10.9" customHeight="1">
      <c r="B35" s="179" t="str">
        <f>PesosMN(M43)</f>
        <v>SON: ( PESO 00/100 M.N.)</v>
      </c>
      <c r="C35" s="180"/>
      <c r="D35" s="180"/>
      <c r="E35" s="180"/>
      <c r="F35" s="180"/>
      <c r="G35" s="180"/>
      <c r="H35" s="180"/>
      <c r="I35" s="180"/>
      <c r="J35" s="180"/>
      <c r="K35" s="181"/>
      <c r="L35" s="80"/>
      <c r="M35" s="99" t="s">
        <v>31</v>
      </c>
      <c r="N35" s="100"/>
    </row>
    <row r="36" spans="2:14">
      <c r="B36" s="182" t="str">
        <f>C6</f>
        <v>TRITURADOS BASÁLTICOS TEPETLAOXTOC</v>
      </c>
      <c r="C36" s="183"/>
      <c r="D36" s="183"/>
      <c r="E36" s="183"/>
      <c r="F36" s="183"/>
      <c r="G36" s="183"/>
      <c r="H36" s="183"/>
      <c r="I36" s="183"/>
      <c r="J36" s="184"/>
      <c r="K36" s="86"/>
      <c r="L36" s="80" t="s">
        <v>31</v>
      </c>
      <c r="M36" s="101" t="s">
        <v>31</v>
      </c>
      <c r="N36" s="100"/>
    </row>
    <row r="37" spans="2:14">
      <c r="B37" s="185" t="s">
        <v>69</v>
      </c>
      <c r="C37" s="186"/>
      <c r="D37" s="186"/>
      <c r="E37" s="187" t="s">
        <v>70</v>
      </c>
      <c r="F37" s="188"/>
      <c r="G37" s="189"/>
      <c r="H37" s="186" t="s">
        <v>71</v>
      </c>
      <c r="I37" s="186"/>
      <c r="J37" s="190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77" t="s">
        <v>72</v>
      </c>
      <c r="C39" s="164"/>
      <c r="D39" s="164"/>
      <c r="E39" s="163" t="s">
        <v>73</v>
      </c>
      <c r="F39" s="164"/>
      <c r="G39" s="165"/>
      <c r="H39" s="164" t="s">
        <v>74</v>
      </c>
      <c r="I39" s="164"/>
      <c r="J39" s="165"/>
      <c r="K39" s="110"/>
      <c r="L39" s="111" t="s">
        <v>75</v>
      </c>
      <c r="M39" s="112">
        <f>SUM(M16:M35)</f>
        <v>0</v>
      </c>
      <c r="N39" s="113"/>
    </row>
    <row r="40" spans="2:14" ht="14.45" customHeight="1">
      <c r="B40" s="166" t="s">
        <v>76</v>
      </c>
      <c r="C40" s="167"/>
      <c r="D40" s="167"/>
      <c r="E40" s="167"/>
      <c r="F40" s="167"/>
      <c r="G40" s="167"/>
      <c r="H40" s="167"/>
      <c r="I40" s="167"/>
      <c r="J40" s="168"/>
      <c r="K40" s="114"/>
      <c r="L40" s="115" t="s">
        <v>77</v>
      </c>
      <c r="M40" s="112"/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5" customHeight="1">
      <c r="B42" s="121"/>
      <c r="E42" s="122"/>
      <c r="F42" s="123" t="s">
        <v>79</v>
      </c>
      <c r="G42" s="124"/>
      <c r="H42" s="169">
        <f>+G7</f>
        <v>0</v>
      </c>
      <c r="I42" s="169"/>
      <c r="J42" s="170"/>
      <c r="K42" s="114"/>
      <c r="L42" s="115" t="s">
        <v>80</v>
      </c>
      <c r="M42" s="112"/>
      <c r="N42" s="113"/>
    </row>
    <row r="43" spans="2:14" ht="15" customHeight="1" thickBot="1">
      <c r="B43" s="171" t="s">
        <v>81</v>
      </c>
      <c r="C43" s="172"/>
      <c r="D43" s="172"/>
      <c r="E43" s="173" t="s">
        <v>82</v>
      </c>
      <c r="F43" s="174"/>
      <c r="G43" s="175"/>
      <c r="H43" s="172" t="s">
        <v>83</v>
      </c>
      <c r="I43" s="172"/>
      <c r="J43" s="176"/>
      <c r="K43" s="125" t="s">
        <v>31</v>
      </c>
      <c r="L43" s="126" t="s">
        <v>84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2023-08-29T18:45:24Z</dcterms:modified>
</cp:coreProperties>
</file>