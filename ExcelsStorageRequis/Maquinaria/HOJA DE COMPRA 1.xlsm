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<sst xmlns="http://schemas.openxmlformats.org/spreadsheetml/2006/main">
  <si>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</si>
  <si>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</si>
  <si>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</si>
  <si>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</si>
  <si>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</si>
  <si>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</si>
  <si>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</si>
  <si>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</si>
  <si>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</si>
  <si>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</si>
  <si>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</si>
  <si>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</si>
  <si>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</si>
  <si>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</si>
  <si>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</si>
  <si>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</si>
  <si>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</si>
  <si>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</si>
  <si>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</si>
  <si>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</si>
  <si>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</si>
  <si>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</si>
  <si>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</si>
  <si>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</si>
  <si>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</si>
  <si>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</si>
  <si>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</si>
  <si>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</si>
  <si>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</si>
  <si>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</si>
  <si>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</si>
  <si>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</si>
  <si>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</si>
  <si>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</si>
  <si>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</si>
  <si>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</si>
  <si>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</si>
  <si>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</si>
  <si>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</si>
  <si>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</si>
  <si>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</si>
  <si>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</si>
  <si>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</si>
  <si>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</si>
  <si>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</si>
  <si>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</si>
  <si>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</si>
  <si>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</si>
  <si>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</si>
  <si>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</si>
  <si>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</si>
  <si>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</si>
  <si>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</si>
  <si>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</si>
  <si>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</si>
  <si>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</si>
  <si>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</si>
  <si>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</si>
  <si>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</si>
  <si>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</si>
  <si>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</si>
  <si>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</si>
  <si>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</si>
  <si>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</si>
  <si>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</si>
  <si>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</si>
  <si>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</si>
  <si>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</si>
  <si>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</si>
  <si>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</si>
  <si>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</si>
  <si>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</si>
  <si>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</si>
  <si>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</si>
  <si>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</si>
  <si>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</si>
  <si>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</si>
  <si>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</si>
  <si>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</si>
  <si>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</si>
  <si>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</si>
  <si>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</si>
  <si>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</si>
  <si>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</si>
  <si>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</si>
  <si>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</si>
  <si>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</si>
  <si>
    <t xml:space="preserve">MAQUINARIA</t>
  </si>
  <si>
    <t xml:space="preserve">X</t>
  </si>
  <si>
    <t xml:space="preserve">2023-07-05</t>
  </si>
  <si>
    <t xml:space="preserve">1234</t>
  </si>
  <si>
    <t xml:space="preserve">Motores electricos</t>
  </si>
  <si>
    <t xml:space="preserve">PZA</t>
  </si>
  <si>
    <t xml:space="preserve">ALVAJAL EQUIPOS Y SERVICIOS  S.A DE C.V</t>
  </si>
  <si>
    <t xml:space="preserve">AES200417UQ9</t>
  </si>
  <si>
    <t xml:space="preserve">0115616735</t>
  </si>
  <si>
    <t xml:space="preserve">012320001156167357</t>
  </si>
  <si>
    <t xml:space="preserve">3311969474</t>
  </si>
  <si>
    <t xml:space="preserve">ventas@powerscreenbajio.com</t>
  </si>
  <si>
    <t xml:space="preserve">BBVA BANCOMER</t>
  </si>
  <si>
    <t xml:space="preserve">AV.TURMALINA 1850 COL .MARIANO OTERO, CP: 45067. ZAPOPAN,JALISCO.</t>
  </si>
  <si>
    <t xml:space="preserve">GRABRIEL ALVAREZ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</si>
</sst>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61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t="s" s="162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t="s" s="164">
        <v>40</v>
      </c>
      <c r="L5" s="164"/>
      <c r="M5" s="164"/>
      <c r="N5" s="165"/>
      <c r="O5" s="29">
        <v>1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t="s" s="25">
        <v>39</v>
      </c>
      <c r="C7" s="157">
        <v>2104</v>
      </c>
      <c r="D7" s="158"/>
      <c r="E7" s="158"/>
      <c r="F7" s="158"/>
      <c r="H7" t="s" s="27">
        <v>38</v>
      </c>
      <c r="I7" s="26"/>
      <c r="J7" s="26"/>
      <c r="K7" s="26"/>
      <c r="L7" s="26"/>
      <c r="M7" t="s" s="159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t="s" s="21">
        <v>36</v>
      </c>
    </row>
    <row r="9" spans="2:15">
      <c r="B9" t="s" s="25">
        <v>35</v>
      </c>
      <c r="C9" t="s" s="157">
        <v>87</v>
      </c>
      <c r="D9" s="157"/>
      <c r="E9" s="157"/>
      <c r="F9" s="157"/>
      <c r="H9" t="s" s="22">
        <v>88</v>
      </c>
      <c r="I9" t="s" s="21">
        <v>34</v>
      </c>
      <c r="M9" t="s" s="24">
        <v>33</v>
      </c>
      <c r="O9" t="s" s="22">
        <v>88</v>
      </c>
    </row>
    <row r="10" spans="2:15">
      <c r="B10" s="25"/>
      <c r="H10" s="22"/>
      <c r="I10" t="s" s="21">
        <v>32</v>
      </c>
      <c r="M10" t="s" s="24">
        <v>31</v>
      </c>
      <c r="O10" s="23"/>
    </row>
    <row r="11" spans="2:15">
      <c r="B11" t="s" s="25">
        <v>30</v>
      </c>
      <c r="C11" t="s" s="160">
        <v>89</v>
      </c>
      <c r="D11" s="160"/>
      <c r="E11" s="160"/>
      <c r="F11" s="160"/>
      <c r="G11" t="s" s="1">
        <v>29</v>
      </c>
      <c r="H11" s="22"/>
      <c r="I11" t="s" s="21">
        <v>28</v>
      </c>
      <c r="M11" t="s" s="24">
        <v>27</v>
      </c>
      <c r="O11" s="23"/>
    </row>
    <row r="12" spans="2:15">
      <c r="H12" s="22"/>
      <c r="I12" t="s" s="21">
        <v>26</v>
      </c>
    </row>
    <row r="13" spans="2:15">
      <c r="H13" s="22"/>
      <c r="I13" t="s" s="21">
        <v>25</v>
      </c>
    </row>
    <row r="14" spans="2:15">
      <c r="H14" s="22"/>
      <c r="I14" t="s" s="21">
        <v>24</v>
      </c>
    </row>
    <row r="17" spans="2:21">
      <c r="B17" t="s" s="155">
        <v>23</v>
      </c>
      <c r="C17" t="s" s="20">
        <v>22</v>
      </c>
      <c r="D17" t="s" s="139">
        <v>21</v>
      </c>
      <c r="E17" s="140"/>
      <c r="F17" s="140"/>
      <c r="G17" s="140"/>
      <c r="H17" s="141"/>
      <c r="I17" t="s" s="139">
        <v>20</v>
      </c>
      <c r="J17" t="s" s="155">
        <v>19</v>
      </c>
      <c r="K17" t="s" s="155">
        <v>18</v>
      </c>
      <c r="L17" t="s" s="139">
        <v>17</v>
      </c>
      <c r="M17" s="140"/>
      <c r="N17" s="140"/>
      <c r="O17" s="141"/>
    </row>
    <row r="18" spans="2:21">
      <c r="B18" s="156"/>
      <c r="C18" t="s" s="19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5">
        <v>91</v>
      </c>
      <c r="E20" s="146"/>
      <c r="F20" s="146"/>
      <c r="G20" s="146"/>
      <c r="H20" s="147"/>
      <c r="I20" t="s" s="17">
        <v>92</v>
      </c>
      <c r="J20" s="34">
        <v>2</v>
      </c>
      <c r="K20" t="s" s="16">
        <v>93</v>
      </c>
      <c r="L20" t="s" s="31">
        <v>15</v>
      </c>
      <c r="M20" t="s" s="149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</c>
      <c r="C21" s="12"/>
      <c r="D21" s="133"/>
      <c r="E21" s="134"/>
      <c r="F21" s="134"/>
      <c r="G21" s="134"/>
      <c r="H21" s="135"/>
      <c r="I21" s="12"/>
      <c r="J21" s="12"/>
      <c r="K21" s="12"/>
      <c r="L21" t="s" s="32">
        <v>14</v>
      </c>
      <c r="M21" t="s" s="151">
        <v>95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</c>
      <c r="C22" s="12"/>
      <c r="D22" s="133"/>
      <c r="E22" s="134"/>
      <c r="F22" s="134"/>
      <c r="G22" s="134"/>
      <c r="H22" s="135"/>
      <c r="I22" s="12"/>
      <c r="J22" s="12"/>
      <c r="K22" s="12"/>
      <c r="L22" t="s" s="32">
        <v>13</v>
      </c>
      <c r="M22" t="s" s="151">
        <v>96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</c>
      <c r="C23" s="12"/>
      <c r="D23" s="133"/>
      <c r="E23" s="134"/>
      <c r="F23" s="134"/>
      <c r="G23" s="134"/>
      <c r="H23" s="135"/>
      <c r="I23" s="12"/>
      <c r="J23" s="12"/>
      <c r="K23" s="12"/>
      <c r="L23" t="s" s="32">
        <v>12</v>
      </c>
      <c r="M23" t="s" s="151">
        <v>97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</c>
      <c r="C24" s="12"/>
      <c r="D24" s="133"/>
      <c r="E24" s="134"/>
      <c r="F24" s="134"/>
      <c r="G24" s="134"/>
      <c r="H24" s="135"/>
      <c r="I24" s="12"/>
      <c r="J24" s="12"/>
      <c r="K24" s="12"/>
      <c r="L24" t="s" s="32">
        <v>11</v>
      </c>
      <c r="M24" t="s" s="151">
        <v>98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</c>
      <c r="C25" s="12"/>
      <c r="D25" s="133"/>
      <c r="E25" s="134"/>
      <c r="F25" s="134"/>
      <c r="G25" s="134"/>
      <c r="H25" s="135"/>
      <c r="I25" s="12"/>
      <c r="J25" s="12"/>
      <c r="K25" s="12"/>
      <c r="L25" t="s" s="32">
        <v>10</v>
      </c>
      <c r="M25" t="s" s="153">
        <v>99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31">
        <v>9</v>
      </c>
      <c r="C33" s="131"/>
      <c r="E33" s="2"/>
      <c r="F33" t="s" s="2">
        <v>8</v>
      </c>
      <c r="H33" s="2"/>
      <c r="I33" s="2"/>
      <c r="J33" t="s" s="2">
        <v>7</v>
      </c>
      <c r="L33" s="2"/>
      <c r="M33" t="s" s="2">
        <v>6</v>
      </c>
    </row>
    <row r="36" spans="2:13" s="1" customFormat="1">
      <c r="B36" t="s" s="132">
        <v>86</v>
      </c>
      <c r="C36" s="131"/>
      <c r="F36" t="s" s="1">
        <v>5</v>
      </c>
      <c r="H36" s="2"/>
      <c r="I36" s="2"/>
      <c r="J36" t="s" s="1">
        <v>4</v>
      </c>
      <c r="L36" s="2"/>
      <c r="M36" t="s" s="1">
        <v>3</v>
      </c>
    </row>
    <row r="37" spans="2:13" s="1" customFormat="1">
      <c r="B37" t="s" s="132">
        <v>85</v>
      </c>
      <c r="C37" s="132"/>
      <c r="F37" t="s" s="1">
        <v>2</v>
      </c>
      <c r="J37" t="s" s="1">
        <v>1</v>
      </c>
      <c r="M37" t="s" s="1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224">
        <v>43</v>
      </c>
      <c r="F3" s="224"/>
      <c r="G3" s="224"/>
      <c r="H3" s="224"/>
      <c r="I3" s="224"/>
      <c r="J3" s="224"/>
      <c r="K3" s="224"/>
      <c r="L3" t="s" s="225">
        <v>44</v>
      </c>
      <c r="M3" s="226"/>
      <c r="N3" s="44"/>
    </row>
    <row r="4" spans="2:14">
      <c r="B4" s="45"/>
      <c r="D4" s="46"/>
      <c r="E4" s="47"/>
      <c r="F4" s="46"/>
      <c r="G4" s="46"/>
      <c r="L4" t="s" s="48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227">
        <v>46</v>
      </c>
      <c r="M5" s="228"/>
      <c r="N5" s="54"/>
    </row>
    <row r="6" spans="2:14" ht="14.45" customHeight="1">
      <c r="B6" t="s" s="229">
        <v>47</v>
      </c>
      <c r="C6" t="s" s="230">
        <v>42</v>
      </c>
      <c r="D6" s="230"/>
      <c r="E6" s="230"/>
      <c r="F6" s="231"/>
      <c r="G6" t="s" s="234">
        <v>48</v>
      </c>
      <c r="H6" s="235"/>
      <c r="I6" s="235"/>
      <c r="J6" s="235"/>
      <c r="K6" s="236"/>
      <c r="L6" s="237">
        <f>L10</f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</c>
      <c r="H7" s="240"/>
      <c r="I7" s="240"/>
      <c r="J7" s="240"/>
      <c r="K7" s="241"/>
      <c r="L7" t="s" s="242">
        <v>49</v>
      </c>
      <c r="M7" s="243"/>
      <c r="N7" s="46"/>
    </row>
    <row r="8" spans="2:14" ht="12.95" customHeight="1">
      <c r="B8" t="s" s="214">
        <v>50</v>
      </c>
      <c r="C8" t="s" s="216">
        <v>51</v>
      </c>
      <c r="D8" s="216"/>
      <c r="E8" s="216"/>
      <c r="F8" s="217"/>
      <c r="G8" t="s" s="220">
        <v>52</v>
      </c>
      <c r="H8" t="s" s="216">
        <v>100</v>
      </c>
      <c r="I8" s="216"/>
      <c r="J8" s="216"/>
      <c r="K8" s="217"/>
      <c r="L8" s="222">
        <f>requi!C11</f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t="s" s="208">
        <v>53</v>
      </c>
      <c r="M9" s="209"/>
      <c r="N9" s="46"/>
    </row>
    <row r="10" spans="2:14">
      <c r="B10" t="s" s="56">
        <v>54</v>
      </c>
      <c r="C10" t="s" s="57">
        <v>55</v>
      </c>
      <c r="D10" s="57"/>
      <c r="E10" s="58"/>
      <c r="F10" s="59"/>
      <c r="G10" t="s" s="60">
        <v>56</v>
      </c>
      <c r="H10" s="202">
        <f>requi!M20</f>
      </c>
      <c r="I10" s="202"/>
      <c r="J10" s="202"/>
      <c r="K10" s="203"/>
      <c r="L10" s="204">
        <f>requi!O5</f>
      </c>
      <c r="M10" s="205"/>
      <c r="N10" s="61"/>
    </row>
    <row r="11" spans="2:14">
      <c r="B11" t="s" s="56">
        <v>57</v>
      </c>
      <c r="C11" s="206">
        <f>requi!C9</f>
      </c>
      <c r="D11" s="206"/>
      <c r="E11" s="206"/>
      <c r="F11" s="207"/>
      <c r="G11" t="s" s="60">
        <v>58</v>
      </c>
      <c r="H11" s="212"/>
      <c r="I11" s="212"/>
      <c r="J11" s="212"/>
      <c r="K11" s="213"/>
      <c r="L11" t="s" s="208">
        <v>59</v>
      </c>
      <c r="M11" s="209"/>
    </row>
    <row r="12" spans="2:14">
      <c r="B12" t="s" s="56">
        <v>60</v>
      </c>
      <c r="C12" s="206"/>
      <c r="D12" s="206"/>
      <c r="E12" s="206"/>
      <c r="F12" s="207"/>
      <c r="G12" t="s" s="60">
        <v>61</v>
      </c>
      <c r="H12" t="s" s="202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t="s" s="66">
        <v>62</v>
      </c>
      <c r="H13" s="197">
        <f>H29</f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23</v>
      </c>
      <c r="C15" t="s" s="70">
        <v>19</v>
      </c>
      <c r="D15" t="s" s="70">
        <v>20</v>
      </c>
      <c r="E15" t="s" s="70">
        <v>83</v>
      </c>
      <c r="F15" t="s" s="199">
        <v>21</v>
      </c>
      <c r="G15" s="200"/>
      <c r="H15" s="200"/>
      <c r="I15" s="200"/>
      <c r="J15" s="200"/>
      <c r="K15" s="201"/>
      <c r="L15" t="s" s="70">
        <v>63</v>
      </c>
      <c r="M15" t="s" s="71">
        <v>64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196">
        <f>requi!D20</f>
      </c>
      <c r="G16" s="196"/>
      <c r="H16" s="196"/>
      <c r="I16" s="196"/>
      <c r="J16" s="196"/>
      <c r="K16" s="196"/>
      <c r="L16" s="75">
        <v>20000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196">
        <f>requi!D21</f>
      </c>
      <c r="G17" s="196"/>
      <c r="H17" s="196"/>
      <c r="I17" s="196"/>
      <c r="J17" s="196"/>
      <c r="K17" s="196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196">
        <f>requi!D22</f>
      </c>
      <c r="G18" s="196"/>
      <c r="H18" s="196"/>
      <c r="I18" s="196"/>
      <c r="J18" s="196"/>
      <c r="K18" s="196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196">
        <f>requi!D23</f>
      </c>
      <c r="G19" s="196"/>
      <c r="H19" s="196"/>
      <c r="I19" s="196"/>
      <c r="J19" s="196"/>
      <c r="K19" s="196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196">
        <f>requi!D24</f>
      </c>
      <c r="G20" s="196"/>
      <c r="H20" s="196"/>
      <c r="I20" s="196"/>
      <c r="J20" s="196"/>
      <c r="K20" s="196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196">
        <f>requi!D25</f>
      </c>
      <c r="G21" s="196"/>
      <c r="H21" s="196"/>
      <c r="I21" s="196"/>
      <c r="J21" s="196"/>
      <c r="K21" s="196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196">
        <f>requi!D26</f>
      </c>
      <c r="G22" s="196"/>
      <c r="H22" s="196"/>
      <c r="I22" s="196"/>
      <c r="J22" s="196"/>
      <c r="K22" s="196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196">
        <f>requi!D27</f>
      </c>
      <c r="G23" s="196"/>
      <c r="H23" s="196"/>
      <c r="I23" s="196"/>
      <c r="J23" s="196"/>
      <c r="K23" s="196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196">
        <f>requi!D28</f>
      </c>
      <c r="G24" s="196"/>
      <c r="H24" s="196"/>
      <c r="I24" s="196"/>
      <c r="J24" s="196"/>
      <c r="K24" s="196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196">
        <f>requi!D29</f>
      </c>
      <c r="G25" s="196"/>
      <c r="H25" s="196"/>
      <c r="I25" s="196"/>
      <c r="J25" s="196"/>
      <c r="K25" s="196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65</v>
      </c>
      <c r="H29" t="s" s="193">
        <v>101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66</v>
      </c>
      <c r="H30" s="193">
        <f>requi!M23</f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11</v>
      </c>
      <c r="H31" s="193">
        <f>requi!M24</f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10</v>
      </c>
      <c r="H32" s="193">
        <f>requi!M25</f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13</v>
      </c>
      <c r="H33" s="193">
        <f>requi!M22</f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t="s" s="82">
        <v>29</v>
      </c>
      <c r="D34" t="s" s="98">
        <v>29</v>
      </c>
      <c r="E34" s="79"/>
      <c r="F34" s="92"/>
      <c r="G34" t="s" s="93">
        <v>14</v>
      </c>
      <c r="H34" s="193">
        <f>requi!M21</f>
      </c>
      <c r="I34" s="193"/>
      <c r="J34" s="193"/>
      <c r="K34" s="194"/>
      <c r="L34" s="80"/>
      <c r="M34" s="76"/>
      <c r="N34" s="81"/>
    </row>
    <row r="35" spans="2:14" ht="10.9" customHeight="1">
      <c r="B35" s="181">
        <f>PesosMN(M43)</f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t="s" s="99">
        <v>29</v>
      </c>
      <c r="N35" s="100"/>
    </row>
    <row r="36" spans="2:14">
      <c r="B36" s="184">
        <f>C6</f>
      </c>
      <c r="C36" s="185"/>
      <c r="D36" s="185"/>
      <c r="E36" s="185"/>
      <c r="F36" s="185"/>
      <c r="G36" s="185"/>
      <c r="H36" s="185"/>
      <c r="I36" s="185"/>
      <c r="J36" s="186"/>
      <c r="K36" s="86"/>
      <c r="L36" t="s" s="80">
        <v>29</v>
      </c>
      <c r="M36" t="s" s="101">
        <v>29</v>
      </c>
      <c r="N36" s="100"/>
    </row>
    <row r="37" spans="2:14">
      <c r="B37" t="s" s="187">
        <v>67</v>
      </c>
      <c r="C37" s="188"/>
      <c r="D37" s="188"/>
      <c r="E37" t="s" s="189">
        <v>68</v>
      </c>
      <c r="F37" s="190"/>
      <c r="G37" s="191"/>
      <c r="H37" t="s" s="188">
        <v>69</v>
      </c>
      <c r="I37" s="188"/>
      <c r="J37" s="192"/>
      <c r="K37" s="86"/>
      <c r="L37" t="s" s="80">
        <v>29</v>
      </c>
      <c r="M37" t="s" s="101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195">
        <v>84</v>
      </c>
      <c r="C39" s="167"/>
      <c r="D39" s="167"/>
      <c r="E39" t="s" s="166">
        <v>70</v>
      </c>
      <c r="F39" s="167"/>
      <c r="G39" s="168"/>
      <c r="H39" t="s" s="167">
        <v>71</v>
      </c>
      <c r="I39" s="167"/>
      <c r="J39" s="168"/>
      <c r="K39" s="110"/>
      <c r="L39" t="s" s="111">
        <v>72</v>
      </c>
      <c r="M39" s="112">
        <f>SUM(M16:M35)</f>
      </c>
      <c r="N39" s="113"/>
    </row>
    <row r="40" spans="2:14" ht="14.45" customHeight="1">
      <c r="B40" t="s" s="169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t="s" s="115">
        <v>74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75</v>
      </c>
      <c r="M41" s="112"/>
      <c r="N41" s="113"/>
    </row>
    <row r="42" spans="2:14" ht="11.45" customHeight="1">
      <c r="B42" s="121"/>
      <c r="E42" s="122"/>
      <c r="F42" t="s" s="123">
        <v>76</v>
      </c>
      <c r="G42" s="124"/>
      <c r="H42" s="172">
        <f>+G7</f>
      </c>
      <c r="I42" s="172"/>
      <c r="J42" s="173"/>
      <c r="K42" s="114"/>
      <c r="L42" t="s" s="115">
        <v>77</v>
      </c>
      <c r="M42" s="112"/>
      <c r="N42" s="113"/>
    </row>
    <row r="43" spans="2:14" ht="15" customHeight="1" thickBot="1">
      <c r="B43" t="s" s="174">
        <v>78</v>
      </c>
      <c r="C43" s="175"/>
      <c r="D43" s="175"/>
      <c r="E43" t="s" s="176">
        <v>79</v>
      </c>
      <c r="F43" s="177"/>
      <c r="G43" s="178"/>
      <c r="H43" t="s" s="175">
        <v>80</v>
      </c>
      <c r="I43" s="175"/>
      <c r="J43" s="179"/>
      <c r="K43" t="s" s="125">
        <v>29</v>
      </c>
      <c r="L43" t="s" s="126">
        <v>81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