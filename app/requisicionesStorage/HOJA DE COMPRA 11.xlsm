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app\api\excelMod\"/>
    </mc:Choice>
  </mc:AlternateContent>
  <xr:revisionPtr revIDLastSave="0" documentId="13_ncr:1_{99CC692F-8321-4DC7-8C94-5173EFDF83F2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<sst xmlns="http://schemas.openxmlformats.org/spreadsheetml/2006/main">
  <si>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</si>
  <si>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</si>
  <si>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</si>
  <si>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</si>
  <si>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</si>
  <si>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</si>
  <si>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</si>
  <si>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</si>
  <si>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</si>
  <si>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</si>
  <si>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</si>
  <si>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</si>
  <si>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</si>
  <si>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</si>
  <si>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</si>
  <si>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</si>
  <si>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</si>
  <si>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</si>
  <si>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</si>
  <si>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</si>
  <si>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</si>
  <si>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</si>
  <si>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</si>
  <si>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</si>
  <si>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</si>
  <si>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</si>
  <si>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</si>
  <si>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</si>
  <si>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</si>
  <si>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</si>
  <si>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</si>
  <si>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</si>
  <si>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</si>
  <si>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</si>
  <si>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</si>
  <si>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</si>
  <si>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</si>
  <si>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</si>
  <si>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</si>
  <si>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</si>
  <si>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</si>
  <si>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</si>
  <si>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</si>
  <si>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</si>
  <si>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</si>
  <si>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</si>
  <si>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</si>
  <si>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</si>
  <si>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</si>
  <si>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</si>
  <si>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</si>
  <si>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</si>
  <si>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</si>
  <si>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</si>
  <si>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</si>
  <si>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</si>
  <si>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</si>
  <si>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</si>
  <si>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</si>
  <si>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</si>
  <si>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</si>
  <si>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</si>
  <si>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</si>
  <si>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</si>
  <si>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</si>
  <si>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</si>
  <si>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</si>
  <si>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</si>
  <si>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</si>
  <si>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</si>
  <si>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</si>
  <si>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</si>
  <si>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</si>
  <si>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</si>
  <si>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</si>
  <si>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</si>
  <si>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</si>
  <si>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</si>
  <si>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</si>
  <si>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</si>
  <si>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</si>
  <si>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</si>
  <si>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</si>
  <si>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</si>
  <si>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</si>
  <si>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</si>
  <si>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</si>
  <si>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 xml:space="preserve">MAQUINARIA</t>
  </si>
  <si>
    <t xml:space="preserve">X</t>
  </si>
  <si>
    <t xml:space="preserve">2023-07-03</t>
  </si>
  <si>
    <t xml:space="preserve">123</t>
  </si>
  <si>
    <t xml:space="preserve">Motor electrico</t>
  </si>
  <si>
    <t xml:space="preserve">PZA</t>
  </si>
  <si>
    <t xml:space="preserve">ALEJANDRO MARTINEZ JUAREZ</t>
  </si>
  <si>
    <t xml:space="preserve">MAJA770124EY1</t>
  </si>
  <si>
    <t xml:space="preserve">75216</t>
  </si>
  <si>
    <t xml:space="preserve">002290437500752161</t>
  </si>
  <si>
    <t xml:space="preserve">7711073520</t>
  </si>
  <si>
    <t xml:space="preserve">facturacion-mapo@hotmail.com</t>
  </si>
  <si>
    <t xml:space="preserve">BANAMEX</t>
  </si>
  <si>
    <t xml:space="preserve">CARRETERA CUBITOS LA PAZ #1901 ADOLFO LOPEZ MATEOS PACHUCA DE SOTO, HIDALGO.      C.P. 42094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</si>
</sst>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  <xf numFmtId="0" fontId="18" fillId="0" borderId="50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6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G53" sqref="G53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31">
        <v>44</v>
      </c>
      <c r="G2" s="131"/>
      <c r="H2" s="131"/>
      <c r="I2" s="131"/>
      <c r="J2" s="131"/>
      <c r="K2" s="131"/>
      <c r="L2" s="131"/>
      <c r="M2" s="131"/>
      <c r="N2" s="131"/>
      <c r="O2" s="30"/>
    </row>
    <row r="3" spans="2:15" ht="35.25" customHeight="1">
      <c r="F3" t="s" s="132">
        <v>43</v>
      </c>
      <c r="G3" s="132"/>
      <c r="H3" s="132"/>
      <c r="I3" s="132"/>
      <c r="J3" s="132"/>
      <c r="K3" s="132"/>
      <c r="L3" s="132"/>
      <c r="M3" s="132"/>
      <c r="N3" s="132"/>
      <c r="O3" s="30"/>
    </row>
    <row r="4" spans="2:15" ht="7.5" customHeight="1"/>
    <row r="5" spans="2:15" ht="15.75">
      <c r="B5" s="24"/>
      <c r="C5" s="24"/>
      <c r="D5" s="133"/>
      <c r="E5" s="133"/>
      <c r="F5" s="133"/>
      <c r="G5" s="133"/>
      <c r="H5" s="133"/>
      <c r="I5" s="133"/>
      <c r="J5" s="133"/>
      <c r="K5" t="s" s="134">
        <v>42</v>
      </c>
      <c r="L5" s="134"/>
      <c r="M5" s="134"/>
      <c r="N5" s="135"/>
      <c r="O5" s="29">
        <v>11</v>
      </c>
    </row>
    <row r="6" spans="2:15" ht="15.75">
      <c r="D6" s="133"/>
      <c r="E6" s="133"/>
      <c r="F6" s="133"/>
      <c r="G6" s="133"/>
      <c r="H6" s="133"/>
      <c r="I6" s="133"/>
      <c r="J6" s="133"/>
      <c r="K6" s="28"/>
    </row>
    <row r="7" spans="2:15">
      <c r="B7" t="s" s="25">
        <v>41</v>
      </c>
      <c r="C7" s="136">
        <v>2104</v>
      </c>
      <c r="D7" s="137"/>
      <c r="E7" s="137"/>
      <c r="F7" s="137"/>
      <c r="H7" t="s" s="27">
        <v>40</v>
      </c>
      <c r="I7" s="26"/>
      <c r="J7" s="26"/>
      <c r="K7" s="26"/>
      <c r="L7" s="26"/>
      <c r="M7" t="s" s="138">
        <v>39</v>
      </c>
      <c r="N7" s="138"/>
      <c r="O7" s="138"/>
    </row>
    <row r="8" spans="2:15" ht="12.75" customHeight="1">
      <c r="B8" s="25"/>
      <c r="D8" s="139"/>
      <c r="E8" s="139"/>
      <c r="F8" s="139"/>
      <c r="H8" s="22"/>
      <c r="I8" t="s" s="21">
        <v>38</v>
      </c>
    </row>
    <row r="9" spans="2:15">
      <c r="B9" t="s" s="25">
        <v>37</v>
      </c>
      <c r="C9" t="s" s="136">
        <v>87</v>
      </c>
      <c r="D9" s="136"/>
      <c r="E9" s="136"/>
      <c r="F9" s="136"/>
      <c r="H9" t="s" s="22">
        <v>88</v>
      </c>
      <c r="I9" t="s" s="21">
        <v>36</v>
      </c>
      <c r="M9" t="s" s="24">
        <v>35</v>
      </c>
      <c r="O9" t="s" s="22">
        <v>88</v>
      </c>
    </row>
    <row r="10" spans="2:15">
      <c r="B10" s="25"/>
      <c r="H10" s="22"/>
      <c r="I10" t="s" s="21">
        <v>34</v>
      </c>
      <c r="M10" t="s" s="24">
        <v>33</v>
      </c>
      <c r="O10" s="23"/>
    </row>
    <row r="11" spans="2:15">
      <c r="B11" t="s" s="25">
        <v>32</v>
      </c>
      <c r="C11" t="s" s="140">
        <v>89</v>
      </c>
      <c r="D11" s="140"/>
      <c r="E11" s="140"/>
      <c r="F11" s="140"/>
      <c r="G11" t="s" s="1">
        <v>31</v>
      </c>
      <c r="H11" s="22"/>
      <c r="I11" t="s" s="21">
        <v>30</v>
      </c>
      <c r="M11" t="s" s="24">
        <v>29</v>
      </c>
      <c r="O11" s="23"/>
    </row>
    <row r="12" spans="2:15">
      <c r="H12" s="22"/>
      <c r="I12" t="s" s="21">
        <v>28</v>
      </c>
    </row>
    <row r="13" spans="2:15">
      <c r="H13" s="22"/>
      <c r="I13" t="s" s="21">
        <v>27</v>
      </c>
    </row>
    <row r="14" spans="2:15">
      <c r="H14" s="22"/>
      <c r="I14" t="s" s="21">
        <v>26</v>
      </c>
    </row>
    <row r="17" spans="2:21">
      <c r="B17" t="s" s="141">
        <v>25</v>
      </c>
      <c r="C17" t="s" s="20">
        <v>24</v>
      </c>
      <c r="D17" t="s" s="143">
        <v>23</v>
      </c>
      <c r="E17" s="144"/>
      <c r="F17" s="144"/>
      <c r="G17" s="144"/>
      <c r="H17" s="145"/>
      <c r="I17" t="s" s="143">
        <v>22</v>
      </c>
      <c r="J17" t="s" s="141">
        <v>21</v>
      </c>
      <c r="K17" t="s" s="141">
        <v>20</v>
      </c>
      <c r="L17" t="s" s="143">
        <v>19</v>
      </c>
      <c r="M17" s="144"/>
      <c r="N17" s="144"/>
      <c r="O17" s="145"/>
    </row>
    <row r="18" spans="2:21">
      <c r="B18" s="142"/>
      <c r="C18" t="s" s="19">
        <v>18</v>
      </c>
      <c r="D18" s="146"/>
      <c r="E18" s="147"/>
      <c r="F18" s="147"/>
      <c r="G18" s="147"/>
      <c r="H18" s="148"/>
      <c r="I18" s="146"/>
      <c r="J18" s="142"/>
      <c r="K18" s="142"/>
      <c r="L18" s="146"/>
      <c r="M18" s="147"/>
      <c r="N18" s="147"/>
      <c r="O18" s="148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9">
        <v>91</v>
      </c>
      <c r="E20" s="150"/>
      <c r="F20" s="150"/>
      <c r="G20" s="150"/>
      <c r="H20" s="151"/>
      <c r="I20" t="s" s="17">
        <v>92</v>
      </c>
      <c r="J20" s="34">
        <v>1</v>
      </c>
      <c r="K20" t="s" s="16">
        <v>93</v>
      </c>
      <c r="L20" t="s" s="31">
        <v>17</v>
      </c>
      <c r="M20" t="s" s="156">
        <v>94</v>
      </c>
      <c r="N20" s="156"/>
      <c r="O20" s="157"/>
      <c r="R20" s="1"/>
      <c r="T20" s="152"/>
      <c r="U20" s="152"/>
    </row>
    <row r="21" spans="2:21" ht="20.100000000000001" customHeight="1">
      <c r="B21" s="12">
        <f t="shared" ref="B21:B31" si="0">+B20+1</f>
      </c>
      <c r="C21" s="12"/>
      <c r="D21" s="153"/>
      <c r="E21" s="154"/>
      <c r="F21" s="154"/>
      <c r="G21" s="154"/>
      <c r="H21" s="155"/>
      <c r="I21" s="12"/>
      <c r="J21" s="12"/>
      <c r="K21" s="12"/>
      <c r="L21" t="s" s="32">
        <v>16</v>
      </c>
      <c r="M21" t="s" s="158">
        <v>95</v>
      </c>
      <c r="N21" s="158"/>
      <c r="O21" s="159"/>
      <c r="Q21" s="15"/>
      <c r="R21" s="1"/>
      <c r="T21" s="152"/>
      <c r="U21" s="152"/>
    </row>
    <row r="22" spans="2:21" ht="20.100000000000001" customHeight="1">
      <c r="B22" s="12">
        <f t="shared" si="0"/>
      </c>
      <c r="C22" s="12"/>
      <c r="D22" s="153"/>
      <c r="E22" s="154"/>
      <c r="F22" s="154"/>
      <c r="G22" s="154"/>
      <c r="H22" s="155"/>
      <c r="I22" s="12"/>
      <c r="J22" s="12"/>
      <c r="K22" s="12"/>
      <c r="L22" t="s" s="32">
        <v>15</v>
      </c>
      <c r="M22" t="s" s="158">
        <v>96</v>
      </c>
      <c r="N22" s="158"/>
      <c r="O22" s="158"/>
      <c r="P22" s="33"/>
      <c r="Q22" s="14"/>
      <c r="R22" s="1"/>
      <c r="T22" s="152"/>
      <c r="U22" s="152"/>
    </row>
    <row r="23" spans="2:21" ht="20.100000000000001" customHeight="1">
      <c r="B23" s="12">
        <f t="shared" si="0"/>
      </c>
      <c r="C23" s="12"/>
      <c r="D23" s="153"/>
      <c r="E23" s="154"/>
      <c r="F23" s="154"/>
      <c r="G23" s="154"/>
      <c r="H23" s="155"/>
      <c r="I23" s="12"/>
      <c r="J23" s="12"/>
      <c r="K23" s="12"/>
      <c r="L23" t="s" s="32">
        <v>14</v>
      </c>
      <c r="M23" t="s" s="158">
        <v>97</v>
      </c>
      <c r="N23" s="158"/>
      <c r="O23" s="159"/>
      <c r="Q23" s="14"/>
      <c r="R23" s="1"/>
      <c r="T23" s="152"/>
      <c r="U23" s="152"/>
    </row>
    <row r="24" spans="2:21" ht="20.100000000000001" customHeight="1">
      <c r="B24" s="12">
        <f t="shared" si="0"/>
      </c>
      <c r="C24" s="12"/>
      <c r="D24" s="153"/>
      <c r="E24" s="154"/>
      <c r="F24" s="154"/>
      <c r="G24" s="154"/>
      <c r="H24" s="155"/>
      <c r="I24" s="12"/>
      <c r="J24" s="12"/>
      <c r="K24" s="12"/>
      <c r="L24" t="s" s="32">
        <v>13</v>
      </c>
      <c r="M24" t="s" s="158">
        <v>98</v>
      </c>
      <c r="N24" s="158"/>
      <c r="O24" s="159"/>
      <c r="Q24" s="14"/>
      <c r="R24" s="1"/>
      <c r="T24" s="152"/>
      <c r="U24" s="152"/>
    </row>
    <row r="25" spans="2:21" ht="20.100000000000001" customHeight="1">
      <c r="B25" s="12">
        <f t="shared" si="0"/>
      </c>
      <c r="C25" s="12"/>
      <c r="D25" s="153"/>
      <c r="E25" s="154"/>
      <c r="F25" s="154"/>
      <c r="G25" s="154"/>
      <c r="H25" s="155"/>
      <c r="I25" s="12"/>
      <c r="J25" s="12"/>
      <c r="K25" s="12"/>
      <c r="L25" t="s" s="32">
        <v>12</v>
      </c>
      <c r="M25" t="s" s="160">
        <v>99</v>
      </c>
      <c r="N25" s="160"/>
      <c r="O25" s="161"/>
      <c r="Q25" s="13"/>
      <c r="R25" s="1"/>
      <c r="T25" s="152"/>
      <c r="U25" s="152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53"/>
      <c r="E27" s="154"/>
      <c r="F27" s="154"/>
      <c r="G27" s="154"/>
      <c r="H27" s="15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53"/>
      <c r="E28" s="154"/>
      <c r="F28" s="154"/>
      <c r="G28" s="154"/>
      <c r="H28" s="15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53"/>
      <c r="E29" s="154"/>
      <c r="F29" s="154"/>
      <c r="G29" s="154"/>
      <c r="H29" s="15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53"/>
      <c r="E30" s="154"/>
      <c r="F30" s="154"/>
      <c r="G30" s="154"/>
      <c r="H30" s="15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63"/>
      <c r="E31" s="164"/>
      <c r="F31" s="164"/>
      <c r="G31" s="164"/>
      <c r="H31" s="16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62">
        <v>11</v>
      </c>
      <c r="C33" s="162"/>
      <c r="E33" s="2"/>
      <c r="F33" t="s" s="2">
        <v>10</v>
      </c>
      <c r="H33" s="2"/>
      <c r="I33" s="2"/>
      <c r="J33" t="s" s="2">
        <v>9</v>
      </c>
      <c r="L33" s="2"/>
      <c r="M33" t="s" s="2">
        <v>8</v>
      </c>
    </row>
    <row r="36" spans="2:13" s="1" customFormat="1">
      <c r="B36" t="s" s="139">
        <v>7</v>
      </c>
      <c r="C36" s="162"/>
      <c r="F36" t="s" s="1">
        <v>6</v>
      </c>
      <c r="H36" s="2"/>
      <c r="I36" s="2"/>
      <c r="J36" t="s" s="1">
        <v>5</v>
      </c>
      <c r="L36" s="2"/>
      <c r="M36" t="s" s="1">
        <v>4</v>
      </c>
    </row>
    <row r="37" spans="2:13" s="1" customFormat="1">
      <c r="B37" t="s" s="139">
        <v>3</v>
      </c>
      <c r="C37" s="139"/>
      <c r="F37" t="s" s="1">
        <v>2</v>
      </c>
      <c r="J37" t="s" s="1">
        <v>1</v>
      </c>
      <c r="M37" t="s" s="1">
        <v>0</v>
      </c>
    </row>
  </sheetData>
  <mergeCells count="37"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17:B18"/>
    <mergeCell ref="D17:H18"/>
    <mergeCell ref="I17:I18"/>
    <mergeCell ref="J17:J18"/>
    <mergeCell ref="K17:K18"/>
    <mergeCell ref="C7:F7"/>
    <mergeCell ref="M7:O7"/>
    <mergeCell ref="D8:F8"/>
    <mergeCell ref="C9:F9"/>
    <mergeCell ref="C11:F11"/>
    <mergeCell ref="F2:N2"/>
    <mergeCell ref="F3:N3"/>
    <mergeCell ref="D5:J5"/>
    <mergeCell ref="K5:N5"/>
    <mergeCell ref="D6:J6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R18" sqref="R18:R22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166">
        <v>45</v>
      </c>
      <c r="F3" s="166"/>
      <c r="G3" s="166"/>
      <c r="H3" s="166"/>
      <c r="I3" s="166"/>
      <c r="J3" s="166"/>
      <c r="K3" s="166"/>
      <c r="L3" t="s" s="167">
        <v>46</v>
      </c>
      <c r="M3" s="168"/>
      <c r="N3" s="44"/>
    </row>
    <row r="4" spans="2:14">
      <c r="B4" s="45"/>
      <c r="D4" s="46"/>
      <c r="E4" s="47"/>
      <c r="F4" s="46"/>
      <c r="G4" s="46"/>
      <c r="L4" t="s" s="48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169">
        <v>48</v>
      </c>
      <c r="M5" s="170"/>
      <c r="N5" s="54"/>
    </row>
    <row r="6" spans="2:14" ht="14.45" customHeight="1">
      <c r="B6" t="s" s="171">
        <v>49</v>
      </c>
      <c r="C6" t="s" s="173">
        <v>44</v>
      </c>
      <c r="D6" s="173"/>
      <c r="E6" s="173"/>
      <c r="F6" s="174"/>
      <c r="G6" t="s" s="177">
        <v>50</v>
      </c>
      <c r="H6" s="178"/>
      <c r="I6" s="178"/>
      <c r="J6" s="178"/>
      <c r="K6" s="179"/>
      <c r="L6" s="180">
        <f>L10</f>
      </c>
      <c r="M6" s="181"/>
      <c r="N6" s="46"/>
    </row>
    <row r="7" spans="2:14">
      <c r="B7" s="172"/>
      <c r="C7" s="175"/>
      <c r="D7" s="175"/>
      <c r="E7" s="175"/>
      <c r="F7" s="176"/>
      <c r="G7" s="182">
        <f>requi!K20</f>
      </c>
      <c r="H7" s="183"/>
      <c r="I7" s="183"/>
      <c r="J7" s="183"/>
      <c r="K7" s="184"/>
      <c r="L7" t="s" s="185">
        <v>51</v>
      </c>
      <c r="M7" s="186"/>
      <c r="N7" s="46"/>
    </row>
    <row r="8" spans="2:14" ht="12.95" customHeight="1">
      <c r="B8" t="s" s="187">
        <v>52</v>
      </c>
      <c r="C8" t="s" s="188">
        <v>53</v>
      </c>
      <c r="D8" s="188"/>
      <c r="E8" s="188"/>
      <c r="F8" s="189"/>
      <c r="G8" t="s" s="192">
        <v>54</v>
      </c>
      <c r="H8" t="s" s="188">
        <v>100</v>
      </c>
      <c r="I8" s="188"/>
      <c r="J8" s="188"/>
      <c r="K8" s="189"/>
      <c r="L8" s="194">
        <f>requi!C11</f>
      </c>
      <c r="M8" s="195"/>
      <c r="N8" s="55"/>
    </row>
    <row r="9" spans="2:14">
      <c r="B9" s="172"/>
      <c r="C9" s="190"/>
      <c r="D9" s="190"/>
      <c r="E9" s="190"/>
      <c r="F9" s="191"/>
      <c r="G9" s="193"/>
      <c r="H9" s="190"/>
      <c r="I9" s="190"/>
      <c r="J9" s="190"/>
      <c r="K9" s="191"/>
      <c r="L9" t="s" s="196">
        <v>55</v>
      </c>
      <c r="M9" s="197"/>
      <c r="N9" s="46"/>
    </row>
    <row r="10" spans="2:14">
      <c r="B10" t="s" s="56">
        <v>56</v>
      </c>
      <c r="C10" t="s" s="57">
        <v>57</v>
      </c>
      <c r="D10" s="57"/>
      <c r="E10" s="58"/>
      <c r="F10" s="59"/>
      <c r="G10" t="s" s="60">
        <v>58</v>
      </c>
      <c r="H10" s="198">
        <f>requi!M20</f>
      </c>
      <c r="I10" s="198"/>
      <c r="J10" s="198"/>
      <c r="K10" s="199"/>
      <c r="L10" s="200">
        <f>requi!O5</f>
      </c>
      <c r="M10" s="201"/>
      <c r="N10" s="61"/>
    </row>
    <row r="11" spans="2:14">
      <c r="B11" t="s" s="56">
        <v>59</v>
      </c>
      <c r="C11" s="202">
        <f>requi!C9</f>
      </c>
      <c r="D11" s="202"/>
      <c r="E11" s="202"/>
      <c r="F11" s="203"/>
      <c r="G11" t="s" s="60">
        <v>60</v>
      </c>
      <c r="H11" s="206"/>
      <c r="I11" s="206"/>
      <c r="J11" s="206"/>
      <c r="K11" s="207"/>
      <c r="L11" t="s" s="196">
        <v>61</v>
      </c>
      <c r="M11" s="197"/>
    </row>
    <row r="12" spans="2:14">
      <c r="B12" t="s" s="56">
        <v>62</v>
      </c>
      <c r="C12" s="202"/>
      <c r="D12" s="202"/>
      <c r="E12" s="202"/>
      <c r="F12" s="203"/>
      <c r="G12" t="s" s="60">
        <v>63</v>
      </c>
      <c r="H12" t="s" s="198">
        <v>85</v>
      </c>
      <c r="I12" s="198"/>
      <c r="J12" s="198"/>
      <c r="K12" s="199"/>
      <c r="L12" s="204"/>
      <c r="M12" s="205"/>
    </row>
    <row r="13" spans="2:14" ht="16.899999999999999" customHeight="1" thickBot="1">
      <c r="B13" s="62"/>
      <c r="C13" s="63"/>
      <c r="D13" s="63"/>
      <c r="E13" s="64"/>
      <c r="F13" s="65"/>
      <c r="G13" t="s" s="66">
        <v>64</v>
      </c>
      <c r="H13" s="209">
        <f>H29</f>
      </c>
      <c r="I13" s="209"/>
      <c r="J13" s="209"/>
      <c r="K13" s="210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25</v>
      </c>
      <c r="C15" t="s" s="70">
        <v>21</v>
      </c>
      <c r="D15" t="s" s="70">
        <v>22</v>
      </c>
      <c r="E15" t="s" s="70">
        <v>86</v>
      </c>
      <c r="F15" t="s" s="211">
        <v>23</v>
      </c>
      <c r="G15" s="212"/>
      <c r="H15" s="212"/>
      <c r="I15" s="212"/>
      <c r="J15" s="212"/>
      <c r="K15" s="213"/>
      <c r="L15" t="s" s="70">
        <v>65</v>
      </c>
      <c r="M15" t="s" s="71">
        <v>66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208">
        <f>requi!D20</f>
      </c>
      <c r="G16" s="208"/>
      <c r="H16" s="208"/>
      <c r="I16" s="208"/>
      <c r="J16" s="208"/>
      <c r="K16" s="208"/>
      <c r="L16" s="75">
        <v>10000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208">
        <f>requi!D21</f>
      </c>
      <c r="G17" s="208"/>
      <c r="H17" s="208"/>
      <c r="I17" s="208"/>
      <c r="J17" s="208"/>
      <c r="K17" s="208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208">
        <f>requi!D22</f>
      </c>
      <c r="G18" s="208"/>
      <c r="H18" s="208"/>
      <c r="I18" s="208"/>
      <c r="J18" s="208"/>
      <c r="K18" s="208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208">
        <f>requi!D23</f>
      </c>
      <c r="G19" s="208"/>
      <c r="H19" s="208"/>
      <c r="I19" s="208"/>
      <c r="J19" s="208"/>
      <c r="K19" s="208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208">
        <f>requi!D24</f>
      </c>
      <c r="G20" s="208"/>
      <c r="H20" s="208"/>
      <c r="I20" s="208"/>
      <c r="J20" s="208"/>
      <c r="K20" s="208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208">
        <f>requi!D25</f>
      </c>
      <c r="G21" s="208"/>
      <c r="H21" s="208"/>
      <c r="I21" s="208"/>
      <c r="J21" s="208"/>
      <c r="K21" s="208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208">
        <f>requi!D26</f>
      </c>
      <c r="G22" s="208"/>
      <c r="H22" s="208"/>
      <c r="I22" s="208"/>
      <c r="J22" s="208"/>
      <c r="K22" s="208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208">
        <f>requi!D27</f>
      </c>
      <c r="G23" s="208"/>
      <c r="H23" s="208"/>
      <c r="I23" s="208"/>
      <c r="J23" s="208"/>
      <c r="K23" s="208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208">
        <f>requi!D28</f>
      </c>
      <c r="G24" s="208"/>
      <c r="H24" s="208"/>
      <c r="I24" s="208"/>
      <c r="J24" s="208"/>
      <c r="K24" s="208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208">
        <f>requi!D29</f>
      </c>
      <c r="G25" s="208"/>
      <c r="H25" s="208"/>
      <c r="I25" s="208"/>
      <c r="J25" s="208"/>
      <c r="K25" s="208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220"/>
      <c r="G26" s="221"/>
      <c r="H26" s="221"/>
      <c r="I26" s="221"/>
      <c r="J26" s="221"/>
      <c r="K26" s="222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67</v>
      </c>
      <c r="H29" t="s" s="235">
        <v>93</v>
      </c>
      <c r="I29" s="235"/>
      <c r="J29" s="235"/>
      <c r="K29" s="236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68</v>
      </c>
      <c r="H30" s="235">
        <f>requi!M23</f>
      </c>
      <c r="I30" s="235"/>
      <c r="J30" s="235"/>
      <c r="K30" s="236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13</v>
      </c>
      <c r="H31" s="235">
        <f>requi!M24</f>
      </c>
      <c r="I31" s="235"/>
      <c r="J31" s="235"/>
      <c r="K31" s="236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12</v>
      </c>
      <c r="H32" s="235">
        <f>requi!M25</f>
      </c>
      <c r="I32" s="235"/>
      <c r="J32" s="235"/>
      <c r="K32" s="236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15</v>
      </c>
      <c r="H33" s="235">
        <f>requi!M22</f>
      </c>
      <c r="I33" s="235"/>
      <c r="J33" s="235"/>
      <c r="K33" s="236"/>
      <c r="L33" s="80"/>
      <c r="M33" s="76"/>
      <c r="N33" s="81"/>
    </row>
    <row r="34" spans="2:14">
      <c r="B34" s="74">
        <v>19</v>
      </c>
      <c r="C34" t="s" s="82">
        <v>31</v>
      </c>
      <c r="D34" t="s" s="98">
        <v>31</v>
      </c>
      <c r="E34" s="79"/>
      <c r="F34" s="92"/>
      <c r="G34" t="s" s="93">
        <v>16</v>
      </c>
      <c r="H34" s="235">
        <f>requi!M21</f>
      </c>
      <c r="I34" s="235"/>
      <c r="J34" s="235"/>
      <c r="K34" s="236"/>
      <c r="L34" s="80"/>
      <c r="M34" s="76"/>
      <c r="N34" s="81"/>
    </row>
    <row r="35" spans="2:14" ht="10.9" customHeight="1">
      <c r="B35" s="223">
        <f>PesosMN(M43)</f>
      </c>
      <c r="C35" s="224"/>
      <c r="D35" s="224"/>
      <c r="E35" s="224"/>
      <c r="F35" s="224"/>
      <c r="G35" s="224"/>
      <c r="H35" s="224"/>
      <c r="I35" s="224"/>
      <c r="J35" s="224"/>
      <c r="K35" s="225"/>
      <c r="L35" s="80"/>
      <c r="M35" t="s" s="99">
        <v>31</v>
      </c>
      <c r="N35" s="100"/>
    </row>
    <row r="36" spans="2:14">
      <c r="B36" s="226">
        <f>C6</f>
      </c>
      <c r="C36" s="227"/>
      <c r="D36" s="227"/>
      <c r="E36" s="227"/>
      <c r="F36" s="227"/>
      <c r="G36" s="227"/>
      <c r="H36" s="227"/>
      <c r="I36" s="227"/>
      <c r="J36" s="228"/>
      <c r="K36" s="86"/>
      <c r="L36" t="s" s="80">
        <v>31</v>
      </c>
      <c r="M36" t="s" s="101">
        <v>31</v>
      </c>
      <c r="N36" s="100"/>
    </row>
    <row r="37" spans="2:14">
      <c r="B37" t="s" s="229">
        <v>69</v>
      </c>
      <c r="C37" s="230"/>
      <c r="D37" s="230"/>
      <c r="E37" t="s" s="231">
        <v>70</v>
      </c>
      <c r="F37" s="232"/>
      <c r="G37" s="233"/>
      <c r="H37" t="s" s="230">
        <v>71</v>
      </c>
      <c r="I37" s="230"/>
      <c r="J37" s="234"/>
      <c r="K37" s="86"/>
      <c r="L37" t="s" s="80">
        <v>31</v>
      </c>
      <c r="M37" t="s" s="101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237">
        <v>72</v>
      </c>
      <c r="C39" s="238"/>
      <c r="D39" s="238"/>
      <c r="E39" t="s" s="239">
        <v>73</v>
      </c>
      <c r="F39" s="238"/>
      <c r="G39" s="240"/>
      <c r="H39" t="s" s="238">
        <v>74</v>
      </c>
      <c r="I39" s="238"/>
      <c r="J39" s="240"/>
      <c r="K39" s="110"/>
      <c r="L39" t="s" s="111">
        <v>75</v>
      </c>
      <c r="M39" s="112">
        <f>SUM(M16:M35)</f>
      </c>
      <c r="N39" s="113"/>
    </row>
    <row r="40" spans="2:14" ht="14.45" customHeight="1">
      <c r="B40" t="s" s="241">
        <v>76</v>
      </c>
      <c r="C40" s="221"/>
      <c r="D40" s="221"/>
      <c r="E40" s="221"/>
      <c r="F40" s="221"/>
      <c r="G40" s="221"/>
      <c r="H40" s="221"/>
      <c r="I40" s="221"/>
      <c r="J40" s="222"/>
      <c r="K40" s="114"/>
      <c r="L40" t="s" s="115">
        <v>77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78</v>
      </c>
      <c r="M41" s="112"/>
      <c r="N41" s="113"/>
    </row>
    <row r="42" spans="2:14" ht="11.45" customHeight="1">
      <c r="B42" s="121"/>
      <c r="E42" s="122"/>
      <c r="F42" t="s" s="123">
        <v>79</v>
      </c>
      <c r="G42" s="124"/>
      <c r="H42" s="242">
        <f>+G7</f>
      </c>
      <c r="I42" s="242"/>
      <c r="J42" s="243"/>
      <c r="K42" s="114"/>
      <c r="L42" t="s" s="115">
        <v>80</v>
      </c>
      <c r="M42" s="112"/>
      <c r="N42" s="113"/>
    </row>
    <row r="43" spans="2:14" ht="15" customHeight="1" thickBot="1">
      <c r="B43" t="s" s="214">
        <v>81</v>
      </c>
      <c r="C43" s="215"/>
      <c r="D43" s="215"/>
      <c r="E43" t="s" s="216">
        <v>82</v>
      </c>
      <c r="F43" s="217"/>
      <c r="G43" s="218"/>
      <c r="H43" t="s" s="215">
        <v>83</v>
      </c>
      <c r="I43" s="215"/>
      <c r="J43" s="219"/>
      <c r="K43" t="s" s="125">
        <v>31</v>
      </c>
      <c r="L43" t="s" s="126">
        <v>84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9:G39"/>
    <mergeCell ref="H39:J39"/>
    <mergeCell ref="B40:J40"/>
    <mergeCell ref="H42:J42"/>
    <mergeCell ref="B43:D43"/>
    <mergeCell ref="E43:G43"/>
    <mergeCell ref="H43:J43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B39:D39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H10:K10"/>
    <mergeCell ref="L10:M10"/>
    <mergeCell ref="C11:F11"/>
    <mergeCell ref="L11:M11"/>
    <mergeCell ref="C12:F12"/>
    <mergeCell ref="L12:M12"/>
    <mergeCell ref="H11:K11"/>
    <mergeCell ref="H12:K12"/>
    <mergeCell ref="B8:B9"/>
    <mergeCell ref="C8:F9"/>
    <mergeCell ref="G8:G9"/>
    <mergeCell ref="H8:K9"/>
    <mergeCell ref="L8:M8"/>
    <mergeCell ref="L9:M9"/>
    <mergeCell ref="E3:K3"/>
    <mergeCell ref="L3:M3"/>
    <mergeCell ref="L5:M5"/>
    <mergeCell ref="B6:B7"/>
    <mergeCell ref="C6:F7"/>
    <mergeCell ref="G6:K6"/>
    <mergeCell ref="L6:M6"/>
    <mergeCell ref="G7:K7"/>
    <mergeCell ref="L7:M7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2023-07-03T16:45:51Z</dcterms:modified>
</cp:coreProperties>
</file>